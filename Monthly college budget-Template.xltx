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4"/>
  <workbookPr filterPrivacy="1" codeName="ThisWorkbook"/>
  <xr:revisionPtr revIDLastSave="0" documentId="8_{0907687C-8304-2C47-87B4-789BDA73F2D0}" xr6:coauthVersionLast="47" xr6:coauthVersionMax="47" xr10:uidLastSave="{00000000-0000-0000-0000-000000000000}"/>
  <bookViews>
    <workbookView xWindow="0" yWindow="500" windowWidth="28800" windowHeight="16300" xr2:uid="{00000000-000D-0000-FFFF-FFFF00000000}"/>
  </bookViews>
  <sheets>
    <sheet name="Monthly college budget" sheetId="3" r:id="rId1"/>
    <sheet name="chart_calcs" sheetId="4" state="hidden" r:id="rId2"/>
  </sheets>
  <definedNames>
    <definedName name="_xlnm._FilterDatabase" localSheetId="0" hidden="1">'Monthly college budget'!#REF!</definedName>
    <definedName name="CategoriesExpense">{"room &amp; board";"tuition &amp; fees";"books &amp; supplies";"transportation";"discretionary";"other expenses"}</definedName>
    <definedName name="CategoriesIncome">{"financial aid";"wages (after-tax)";"family help";"from savings";"other"}</definedName>
    <definedName name="FirstMonth">UPPER(TEXT(StartDate,"mmm "))</definedName>
    <definedName name="income_percent_selected_period">'Monthly college budget'!$O$32:$O$35</definedName>
    <definedName name="NextMonth">UPPER(TEXT(EOMONTH(VALUE('Monthly college budget'!XFD1 &amp; "1"),0)+1,"mmm "))</definedName>
    <definedName name="PercentsExpense">'Monthly college budget'!$O$40,'Monthly college budget'!$O$45,'Monthly college budget'!$O$53,'Monthly college budget'!$O$57,'Monthly college budget'!$O$68,'Monthly college budget'!$O$76</definedName>
    <definedName name="PercentsIncome">'Monthly college budget'!$O$32:$O$35</definedName>
    <definedName name="Periods">'Monthly college budget'!$B$27:$N$27</definedName>
    <definedName name="ScrollBarValue">chart_calcs!$D$13</definedName>
    <definedName name="SelectedPeriod">INDEX(Periods,,ScrollBarValue)</definedName>
    <definedName name="SelectedPeriodCashFlowNegative">INDEX('Monthly college budget'!$B$28:$N$28,,SelectedPeriodColumn) * NOT(SelectedPeriodIsFunded)</definedName>
    <definedName name="SelectedPeriodCashFlowNegative_Mirror">CHOOSE({1,2,3},0,SelectedPeriodCashFlowNegative,-(MAX(ABS(SelectedPeriodCashFlowNegative),SelectedPeriodCashFlowPositive)))</definedName>
    <definedName name="SelectedPeriodCashFlowPositive">INDEX('Monthly college budget'!$B$28:$N$28,,SelectedPeriodColumn) * SelectedPeriodIsFunded</definedName>
    <definedName name="SelectedPeriodCashFlowPositive_Mirror">CHOOSE({1,2,3},0,SelectedPeriodCashFlowPositive,(MAX(ABS(SelectedPeriodCashFlowNegative),SelectedPeriodCashFlowPositive)))</definedName>
    <definedName name="SelectedPeriodColumn">MATCH(SelectedPeriod,Periods,0)</definedName>
    <definedName name="SelectedPeriodIsFunded">INDEX('Monthly college budget'!$B$37:$N$37,,SelectedPeriodColumn)&gt;=INDEX('Monthly college budget'!$B$120:$N$120,,SelectedPeriodColumn)</definedName>
    <definedName name="SelectedStartMonth">'Monthly college budget'!$A$25</definedName>
    <definedName name="StartDate">DATEVALUE("1-"&amp;SelectedStartMonth&amp;"-" &amp;YEAR(TODAY()))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N91" i="3" l="1"/>
  <c r="N88" i="3"/>
  <c r="N87" i="3"/>
  <c r="N86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64" i="3"/>
  <c r="N61" i="3"/>
  <c r="N62" i="3"/>
  <c r="N51" i="3"/>
  <c r="N49" i="3"/>
  <c r="B37" i="3"/>
  <c r="B27" i="3"/>
  <c r="C27" i="3" s="1"/>
  <c r="D27" i="3" s="1"/>
  <c r="E27" i="3" s="1"/>
  <c r="F27" i="3" s="1"/>
  <c r="G27" i="3" s="1"/>
  <c r="H27" i="3" s="1"/>
  <c r="I27" i="3" s="1"/>
  <c r="J27" i="3" s="1"/>
  <c r="K27" i="3" s="1"/>
  <c r="L27" i="3" s="1"/>
  <c r="M27" i="3" s="1"/>
  <c r="B31" i="3"/>
  <c r="N82" i="3" l="1"/>
  <c r="N85" i="3"/>
  <c r="N80" i="3"/>
  <c r="N77" i="3"/>
  <c r="N81" i="3"/>
  <c r="N84" i="3"/>
  <c r="N83" i="3"/>
  <c r="N78" i="3"/>
  <c r="N92" i="3"/>
  <c r="N79" i="3"/>
  <c r="N90" i="3"/>
  <c r="N89" i="3"/>
  <c r="N58" i="3"/>
  <c r="N60" i="3"/>
  <c r="N76" i="3"/>
  <c r="P1" i="3" a="1"/>
  <c r="P19" i="3" s="1"/>
  <c r="P4" i="3" l="1"/>
  <c r="P12" i="3"/>
  <c r="P20" i="3"/>
  <c r="P1" i="3"/>
  <c r="P9" i="3"/>
  <c r="P6" i="3"/>
  <c r="P10" i="3"/>
  <c r="P14" i="3"/>
  <c r="P18" i="3"/>
  <c r="P8" i="3"/>
  <c r="P16" i="3"/>
  <c r="P5" i="3"/>
  <c r="P13" i="3"/>
  <c r="P17" i="3"/>
  <c r="P2" i="3"/>
  <c r="P3" i="3"/>
  <c r="P7" i="3"/>
  <c r="P11" i="3"/>
  <c r="P15" i="3"/>
  <c r="P12" i="4" l="1"/>
  <c r="D12" i="4" l="1"/>
  <c r="B39" i="3"/>
  <c r="C39" i="3" s="1"/>
  <c r="D39" i="3" s="1"/>
  <c r="E39" i="3" s="1"/>
  <c r="F39" i="3" s="1"/>
  <c r="G39" i="3" s="1"/>
  <c r="H39" i="3" s="1"/>
  <c r="I39" i="3" s="1"/>
  <c r="J39" i="3" s="1"/>
  <c r="K39" i="3" s="1"/>
  <c r="L39" i="3" s="1"/>
  <c r="M39" i="3" s="1"/>
  <c r="E12" i="4" l="1"/>
  <c r="C31" i="3"/>
  <c r="D31" i="3" s="1"/>
  <c r="E31" i="3" s="1"/>
  <c r="F31" i="3" s="1"/>
  <c r="G31" i="3" s="1"/>
  <c r="H31" i="3" s="1"/>
  <c r="I31" i="3" s="1"/>
  <c r="J31" i="3" s="1"/>
  <c r="K31" i="3" s="1"/>
  <c r="L31" i="3" s="1"/>
  <c r="M31" i="3" s="1"/>
  <c r="F12" i="4" l="1"/>
  <c r="G12" i="4" l="1"/>
  <c r="M37" i="3" l="1"/>
  <c r="L37" i="3"/>
  <c r="K37" i="3"/>
  <c r="J37" i="3"/>
  <c r="I37" i="3"/>
  <c r="H37" i="3"/>
  <c r="G37" i="3"/>
  <c r="F37" i="3"/>
  <c r="E37" i="3"/>
  <c r="D37" i="3"/>
  <c r="C37" i="3"/>
  <c r="N35" i="3"/>
  <c r="N34" i="3"/>
  <c r="N33" i="3"/>
  <c r="N32" i="3"/>
  <c r="N70" i="3"/>
  <c r="N118" i="3"/>
  <c r="N74" i="3"/>
  <c r="N73" i="3"/>
  <c r="N72" i="3"/>
  <c r="N71" i="3"/>
  <c r="N69" i="3"/>
  <c r="N66" i="3"/>
  <c r="N65" i="3"/>
  <c r="N63" i="3"/>
  <c r="N59" i="3"/>
  <c r="N48" i="3"/>
  <c r="N55" i="3"/>
  <c r="N54" i="3"/>
  <c r="N46" i="3"/>
  <c r="N43" i="3"/>
  <c r="N42" i="3"/>
  <c r="N41" i="3"/>
  <c r="H12" i="4" l="1"/>
  <c r="I12" i="4"/>
  <c r="N37" i="3"/>
  <c r="N45" i="3"/>
  <c r="N57" i="3"/>
  <c r="N53" i="3"/>
  <c r="N68" i="3"/>
  <c r="N40" i="3"/>
  <c r="I120" i="3"/>
  <c r="I28" i="3" s="1"/>
  <c r="C120" i="3"/>
  <c r="C28" i="3" s="1"/>
  <c r="L120" i="3"/>
  <c r="L28" i="3" s="1"/>
  <c r="F120" i="3"/>
  <c r="F28" i="3" s="1"/>
  <c r="G120" i="3"/>
  <c r="M120" i="3"/>
  <c r="M28" i="3" s="1"/>
  <c r="B120" i="3"/>
  <c r="D120" i="3"/>
  <c r="D28" i="3" s="1"/>
  <c r="J120" i="3"/>
  <c r="J28" i="3" s="1"/>
  <c r="K120" i="3"/>
  <c r="K28" i="3" s="1"/>
  <c r="E120" i="3"/>
  <c r="E28" i="3" s="1"/>
  <c r="H120" i="3"/>
  <c r="H28" i="3" s="1"/>
  <c r="G28" i="3" l="1"/>
  <c r="O102" i="3"/>
  <c r="O86" i="3"/>
  <c r="O99" i="3"/>
  <c r="O90" i="3"/>
  <c r="O88" i="3"/>
  <c r="O85" i="3"/>
  <c r="O104" i="3"/>
  <c r="O112" i="3"/>
  <c r="O96" i="3"/>
  <c r="O98" i="3"/>
  <c r="O94" i="3"/>
  <c r="O109" i="3"/>
  <c r="O83" i="3"/>
  <c r="O113" i="3"/>
  <c r="O95" i="3"/>
  <c r="O79" i="3"/>
  <c r="O89" i="3"/>
  <c r="O82" i="3"/>
  <c r="O92" i="3"/>
  <c r="O110" i="3"/>
  <c r="O117" i="3"/>
  <c r="O93" i="3"/>
  <c r="O107" i="3"/>
  <c r="O105" i="3"/>
  <c r="O87" i="3"/>
  <c r="O108" i="3"/>
  <c r="O115" i="3"/>
  <c r="O81" i="3"/>
  <c r="O106" i="3"/>
  <c r="O84" i="3"/>
  <c r="O101" i="3"/>
  <c r="O116" i="3"/>
  <c r="O91" i="3"/>
  <c r="O97" i="3"/>
  <c r="O114" i="3"/>
  <c r="O100" i="3"/>
  <c r="O111" i="3"/>
  <c r="O103" i="3"/>
  <c r="O80" i="3"/>
  <c r="O61" i="3"/>
  <c r="O60" i="3"/>
  <c r="O58" i="3"/>
  <c r="O64" i="3"/>
  <c r="O62" i="3"/>
  <c r="O49" i="3"/>
  <c r="O50" i="3"/>
  <c r="O51" i="3"/>
  <c r="O47" i="3"/>
  <c r="O46" i="3"/>
  <c r="O77" i="3"/>
  <c r="O76" i="3"/>
  <c r="O78" i="3"/>
  <c r="J12" i="4"/>
  <c r="N120" i="3"/>
  <c r="E8" i="4" l="1"/>
  <c r="F8" i="4" s="1"/>
  <c r="L5" i="3" s="1"/>
  <c r="K12" i="4"/>
  <c r="N28" i="3"/>
  <c r="L29" i="3"/>
  <c r="K29" i="3"/>
  <c r="E29" i="3"/>
  <c r="J29" i="3"/>
  <c r="D29" i="3"/>
  <c r="F29" i="3"/>
  <c r="I29" i="3"/>
  <c r="C29" i="3"/>
  <c r="H29" i="3"/>
  <c r="M29" i="3"/>
  <c r="G29" i="3"/>
  <c r="L12" i="4" l="1"/>
  <c r="M12" i="4" l="1"/>
  <c r="N12" i="4" l="1"/>
  <c r="O55" i="3" l="1"/>
  <c r="L15" i="4" l="1"/>
  <c r="O40" i="3"/>
  <c r="L14" i="4"/>
  <c r="F6" i="4"/>
  <c r="A5" i="3" s="1"/>
  <c r="D14" i="4"/>
  <c r="K14" i="4"/>
  <c r="O28" i="3"/>
  <c r="O118" i="3"/>
  <c r="O48" i="3"/>
  <c r="O15" i="4"/>
  <c r="O14" i="4"/>
  <c r="O45" i="3"/>
  <c r="I14" i="4"/>
  <c r="G14" i="4"/>
  <c r="O32" i="3"/>
  <c r="D19" i="4" s="1"/>
  <c r="O33" i="3"/>
  <c r="D21" i="4" s="1"/>
  <c r="D20" i="4"/>
  <c r="O65" i="3"/>
  <c r="P15" i="4"/>
  <c r="F7" i="4"/>
  <c r="O41" i="3"/>
  <c r="O12" i="4"/>
  <c r="J15" i="4"/>
  <c r="O35" i="3"/>
  <c r="D23" i="4" s="1"/>
  <c r="O53" i="3"/>
  <c r="O63" i="3"/>
  <c r="O120" i="3"/>
  <c r="F14" i="4"/>
  <c r="O74" i="3"/>
  <c r="O34" i="3"/>
  <c r="D22" i="4" s="1"/>
  <c r="O73" i="3"/>
  <c r="O70" i="3"/>
  <c r="O43" i="3"/>
  <c r="O59" i="3"/>
  <c r="O68" i="3"/>
  <c r="M14" i="4"/>
  <c r="O66" i="3"/>
  <c r="D15" i="4"/>
  <c r="P14" i="4"/>
  <c r="K15" i="4"/>
  <c r="O54" i="3"/>
  <c r="F15" i="4"/>
  <c r="M15" i="4"/>
  <c r="O72" i="3"/>
  <c r="I15" i="4"/>
  <c r="O37" i="3"/>
  <c r="N15" i="4"/>
  <c r="H14" i="4"/>
  <c r="N14" i="4"/>
  <c r="O26" i="3"/>
  <c r="H15" i="4"/>
  <c r="O57" i="3"/>
  <c r="E14" i="4"/>
  <c r="J14" i="4"/>
  <c r="G15" i="4"/>
  <c r="O71" i="3"/>
  <c r="E15" i="4"/>
  <c r="O42" i="3"/>
  <c r="O69" i="3"/>
  <c r="D3" i="4"/>
  <c r="D5" i="3" l="1"/>
  <c r="D8" i="4"/>
  <c r="L4" i="3" s="1"/>
  <c r="D6" i="4"/>
  <c r="A4" i="3" s="1"/>
  <c r="D7" i="4"/>
  <c r="D4" i="3" s="1"/>
</calcChain>
</file>

<file path=xl/sharedStrings.xml><?xml version="1.0" encoding="utf-8"?>
<sst xmlns="http://schemas.openxmlformats.org/spreadsheetml/2006/main" count="45" uniqueCount="38">
  <si>
    <t>Financial help from family</t>
  </si>
  <si>
    <t>Other (child support, public assistance, gifts, etc.)</t>
  </si>
  <si>
    <t>Financial aid (grants, scholarships, loans) paid to you</t>
  </si>
  <si>
    <t>Withdrawals from savings</t>
  </si>
  <si>
    <t>Books &amp; Supplies</t>
  </si>
  <si>
    <t>Monthly Cash After Expense</t>
  </si>
  <si>
    <t>Dynamic Chart Titles</t>
  </si>
  <si>
    <t xml:space="preserve">Scroll Bar Value: </t>
  </si>
  <si>
    <t xml:space="preserve">Cash Flow Chart: </t>
  </si>
  <si>
    <t xml:space="preserve">Cumulative: </t>
  </si>
  <si>
    <t>TOTAL EXPENSES</t>
  </si>
  <si>
    <t>MONTHLY INCOME</t>
  </si>
  <si>
    <t>TOTAL INCOME</t>
  </si>
  <si>
    <t xml:space="preserve">YEAR  </t>
  </si>
  <si>
    <t xml:space="preserve">% INC </t>
  </si>
  <si>
    <t>***This sheet should remain HIDDEN***</t>
  </si>
  <si>
    <t>JAN</t>
  </si>
  <si>
    <t>INCOME CHART DATA</t>
  </si>
  <si>
    <t>After tax wages from a job</t>
  </si>
  <si>
    <t>Cash flow</t>
  </si>
  <si>
    <t>Cumulative cash flow</t>
  </si>
  <si>
    <t>Monthly college budget</t>
  </si>
  <si>
    <t xml:space="preserve">Other </t>
  </si>
  <si>
    <t>MONTHLY EXPENSES</t>
  </si>
  <si>
    <t>Shopping</t>
  </si>
  <si>
    <t>Un-Indexed Expenditures</t>
  </si>
  <si>
    <t>Tuition &amp; Hostel  Fees</t>
  </si>
  <si>
    <t>Reccuring Payment &amp; Subscriptions</t>
  </si>
  <si>
    <t>Reccuring</t>
  </si>
  <si>
    <t>Tuition</t>
  </si>
  <si>
    <t>Books</t>
  </si>
  <si>
    <t>Transport</t>
  </si>
  <si>
    <t>Family</t>
  </si>
  <si>
    <t>Fincial help from family</t>
  </si>
  <si>
    <t>Money earned</t>
  </si>
  <si>
    <t>Savings</t>
  </si>
  <si>
    <t>Other</t>
  </si>
  <si>
    <t>Food &amp; Transportation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</si>
</sst>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m"/>
    <numFmt numFmtId="165" formatCode="0.0%"/>
    <numFmt numFmtId="166" formatCode="#,##0_);[Red]\(#,##0\);\-\ \ "/>
    <numFmt numFmtId="167" formatCode="0.0%;\(0.0%\)"/>
  </numFmts>
  <fonts count="24" x14ac:knownFonts="1">
    <font>
      <sz val="10"/>
      <color theme="3" tint="0.34998626667073579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b/>
      <sz val="10.5"/>
      <color theme="0"/>
      <name val="Cambria"/>
      <family val="1"/>
      <scheme val="major"/>
    </font>
    <font>
      <sz val="9"/>
      <color theme="1" tint="0.34998626667073579"/>
      <name val="Trebuchet MS"/>
      <family val="2"/>
      <scheme val="minor"/>
    </font>
    <font>
      <b/>
      <sz val="9"/>
      <color theme="1" tint="0.34998626667073579"/>
      <name val="Trebuchet MS"/>
      <family val="2"/>
      <scheme val="minor"/>
    </font>
    <font>
      <sz val="14"/>
      <color theme="1" tint="0.499984740745262"/>
      <name val="Trebuchet MS"/>
      <family val="2"/>
      <scheme val="minor"/>
    </font>
    <font>
      <sz val="30"/>
      <color theme="1" tint="0.499984740745262"/>
      <name val="Trebuchet MS"/>
      <family val="2"/>
      <scheme val="minor"/>
    </font>
    <font>
      <sz val="10"/>
      <color theme="1" tint="0.34998626667073579"/>
      <name val="Trebuchet MS"/>
      <family val="2"/>
      <scheme val="minor"/>
    </font>
    <font>
      <sz val="11"/>
      <color theme="3" tint="0.499984740745262"/>
      <name val="Cambria"/>
      <family val="1"/>
      <scheme val="major"/>
    </font>
    <font>
      <b/>
      <sz val="15"/>
      <color theme="4" tint="-0.499984740745262"/>
      <name val="Cambria"/>
      <family val="1"/>
      <scheme val="major"/>
    </font>
    <font>
      <sz val="9"/>
      <color theme="4" tint="-0.499984740745262"/>
      <name val="Trebuchet MS"/>
      <family val="2"/>
      <scheme val="minor"/>
    </font>
    <font>
      <b/>
      <sz val="10.5"/>
      <color theme="4" tint="-0.499984740745262"/>
      <name val="Cambria"/>
      <family val="1"/>
      <scheme val="major"/>
    </font>
    <font>
      <b/>
      <sz val="10"/>
      <color theme="4" tint="-0.499984740745262"/>
      <name val="Cambria"/>
      <family val="1"/>
      <scheme val="major"/>
    </font>
    <font>
      <b/>
      <sz val="42"/>
      <color theme="4" tint="-0.499984740745262"/>
      <name val="Cambria"/>
      <family val="1"/>
      <scheme val="major"/>
    </font>
    <font>
      <b/>
      <sz val="10"/>
      <color theme="4" tint="-0.499984740745262"/>
      <name val="Trebuchet MS"/>
      <family val="2"/>
      <scheme val="minor"/>
    </font>
    <font>
      <b/>
      <sz val="10"/>
      <color theme="5" tint="-0.499984740745262"/>
      <name val="Trebuchet MS"/>
      <family val="2"/>
      <scheme val="minor"/>
    </font>
    <font>
      <sz val="10"/>
      <color theme="5" tint="-0.499984740745262"/>
      <name val="Trebuchet MS"/>
      <family val="2"/>
      <scheme val="minor"/>
    </font>
    <font>
      <sz val="10"/>
      <color theme="0"/>
      <name val="Trebuchet MS"/>
      <family val="2"/>
      <scheme val="minor"/>
    </font>
    <font>
      <sz val="9"/>
      <color theme="0"/>
      <name val="Trebuchet MS"/>
      <family val="2"/>
      <scheme val="minor"/>
    </font>
    <font>
      <sz val="14"/>
      <color theme="1" tint="0.34998626667073579"/>
      <name val="Trebuchet MS"/>
      <family val="2"/>
      <scheme val="minor"/>
    </font>
    <font>
      <sz val="30"/>
      <color theme="1" tint="0.34998626667073579"/>
      <name val="Trebuchet MS"/>
      <family val="2"/>
      <scheme val="minor"/>
    </font>
    <font>
      <sz val="10"/>
      <name val="Trebuchet MS"/>
      <family val="2"/>
      <scheme val="minor"/>
    </font>
    <font>
      <sz val="10"/>
      <color theme="1"/>
      <name val="Trebuchet MS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FFFFFF"/>
      </top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thick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double">
        <color theme="0" tint="-0.14996795556505021"/>
      </bottom>
      <diagonal/>
    </border>
    <border>
      <left style="thin">
        <color theme="0"/>
      </left>
      <right/>
      <top style="thick">
        <color theme="0" tint="-0.14996795556505021"/>
      </top>
      <bottom style="thin">
        <color theme="0"/>
      </bottom>
      <diagonal/>
    </border>
    <border>
      <left/>
      <right/>
      <top style="thick">
        <color theme="0" tint="-0.1499679555650502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5" tint="-0.499984740745262"/>
      </bottom>
      <diagonal/>
    </border>
    <border>
      <left/>
      <right/>
      <top/>
      <bottom style="thin">
        <color theme="0"/>
      </bottom>
      <diagonal/>
    </border>
    <border>
      <left/>
      <right/>
      <top style="double">
        <color theme="0" tint="-0.14996795556505021"/>
      </top>
      <bottom style="thin">
        <color theme="5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 style="thin">
        <color theme="6" tint="-0.249977111117893"/>
      </bottom>
      <diagonal/>
    </border>
    <border>
      <left style="thin">
        <color theme="6" tint="-0.249977111117893"/>
      </left>
      <right style="thin">
        <color theme="6" tint="-0.249977111117893"/>
      </right>
      <top style="thin">
        <color theme="6" tint="-0.249977111117893"/>
      </top>
      <bottom/>
      <diagonal/>
    </border>
    <border>
      <left style="thin">
        <color theme="6" tint="-0.249977111117893"/>
      </left>
      <right style="thin">
        <color theme="6" tint="-0.249977111117893"/>
      </right>
      <top style="medium">
        <color rgb="FFFFFFFF"/>
      </top>
      <bottom style="thin">
        <color theme="6" tint="-0.249977111117893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" fillId="0" borderId="0"/>
  </cellStyleXfs>
  <cellXfs count="78">
    <xf numFmtId="0" fontId="0" fillId="0" borderId="0" xfId="0"/>
    <xf numFmtId="0" fontId="0" fillId="0" borderId="1" xfId="0" applyBorder="1"/>
    <xf numFmtId="0" fontId="0" fillId="0" borderId="0" xfId="0" applyAlignment="1">
      <alignment horizontal="right"/>
    </xf>
    <xf numFmtId="0" fontId="0" fillId="0" borderId="0" xfId="0" applyAlignment="1" applyProtection="1">
      <alignment horizontal="center"/>
      <protection locked="0"/>
    </xf>
    <xf numFmtId="0" fontId="4" fillId="0" borderId="0" xfId="0" applyFont="1"/>
    <xf numFmtId="0" fontId="5" fillId="0" borderId="0" xfId="0" applyFont="1" applyAlignment="1">
      <alignment horizontal="center"/>
    </xf>
    <xf numFmtId="0" fontId="4" fillId="0" borderId="8" xfId="0" applyFont="1" applyBorder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1" xfId="0" applyBorder="1" applyAlignment="1">
      <alignment horizontal="right" indent="5"/>
    </xf>
    <xf numFmtId="38" fontId="8" fillId="3" borderId="0" xfId="0" applyNumberFormat="1" applyFont="1" applyFill="1"/>
    <xf numFmtId="167" fontId="8" fillId="3" borderId="0" xfId="0" applyNumberFormat="1" applyFont="1" applyFill="1" applyAlignment="1">
      <alignment horizontal="right" indent="1"/>
    </xf>
    <xf numFmtId="0" fontId="8" fillId="3" borderId="2" xfId="0" applyFont="1" applyFill="1" applyBorder="1"/>
    <xf numFmtId="38" fontId="8" fillId="3" borderId="2" xfId="0" applyNumberFormat="1" applyFont="1" applyFill="1" applyBorder="1"/>
    <xf numFmtId="0" fontId="8" fillId="0" borderId="8" xfId="0" applyFont="1" applyBorder="1"/>
    <xf numFmtId="0" fontId="8" fillId="0" borderId="0" xfId="0" applyFont="1"/>
    <xf numFmtId="166" fontId="8" fillId="0" borderId="0" xfId="0" applyNumberFormat="1" applyFont="1" applyProtection="1">
      <protection locked="0"/>
    </xf>
    <xf numFmtId="0" fontId="8" fillId="0" borderId="7" xfId="0" applyFont="1" applyBorder="1"/>
    <xf numFmtId="166" fontId="8" fillId="0" borderId="7" xfId="0" applyNumberFormat="1" applyFont="1" applyBorder="1" applyProtection="1">
      <protection locked="0"/>
    </xf>
    <xf numFmtId="0" fontId="8" fillId="0" borderId="5" xfId="0" applyFont="1" applyBorder="1"/>
    <xf numFmtId="166" fontId="8" fillId="0" borderId="5" xfId="0" applyNumberFormat="1" applyFont="1" applyBorder="1" applyProtection="1">
      <protection locked="0"/>
    </xf>
    <xf numFmtId="0" fontId="8" fillId="0" borderId="0" xfId="0" applyFont="1" applyAlignment="1">
      <alignment horizontal="left" indent="2"/>
    </xf>
    <xf numFmtId="166" fontId="8" fillId="0" borderId="6" xfId="0" applyNumberFormat="1" applyFont="1" applyBorder="1" applyProtection="1">
      <protection locked="0"/>
    </xf>
    <xf numFmtId="0" fontId="10" fillId="0" borderId="0" xfId="0" applyFont="1"/>
    <xf numFmtId="0" fontId="11" fillId="0" borderId="0" xfId="0" applyFont="1"/>
    <xf numFmtId="164" fontId="12" fillId="0" borderId="0" xfId="0" applyNumberFormat="1" applyFont="1" applyAlignment="1">
      <alignment horizontal="center" vertical="center"/>
    </xf>
    <xf numFmtId="164" fontId="12" fillId="0" borderId="0" xfId="0" applyNumberFormat="1" applyFont="1" applyAlignment="1">
      <alignment horizontal="right"/>
    </xf>
    <xf numFmtId="0" fontId="12" fillId="0" borderId="0" xfId="0" applyFont="1" applyAlignment="1">
      <alignment horizontal="right"/>
    </xf>
    <xf numFmtId="0" fontId="12" fillId="0" borderId="0" xfId="0" applyFont="1" applyAlignment="1">
      <alignment horizontal="center"/>
    </xf>
    <xf numFmtId="14" fontId="3" fillId="4" borderId="0" xfId="1" applyNumberFormat="1" applyFont="1" applyFill="1" applyAlignment="1" applyProtection="1">
      <alignment horizontal="center"/>
      <protection locked="0"/>
    </xf>
    <xf numFmtId="0" fontId="13" fillId="0" borderId="4" xfId="0" applyFont="1" applyBorder="1"/>
    <xf numFmtId="164" fontId="13" fillId="0" borderId="4" xfId="0" applyNumberFormat="1" applyFont="1" applyBorder="1" applyAlignment="1">
      <alignment horizontal="right"/>
    </xf>
    <xf numFmtId="0" fontId="13" fillId="0" borderId="4" xfId="0" applyFont="1" applyBorder="1" applyAlignment="1">
      <alignment horizontal="right"/>
    </xf>
    <xf numFmtId="0" fontId="13" fillId="0" borderId="4" xfId="0" applyFont="1" applyBorder="1" applyAlignment="1">
      <alignment horizontal="center"/>
    </xf>
    <xf numFmtId="0" fontId="14" fillId="0" borderId="0" xfId="0" applyFont="1"/>
    <xf numFmtId="38" fontId="15" fillId="0" borderId="3" xfId="0" applyNumberFormat="1" applyFont="1" applyBorder="1"/>
    <xf numFmtId="165" fontId="15" fillId="0" borderId="3" xfId="0" applyNumberFormat="1" applyFont="1" applyBorder="1" applyAlignment="1">
      <alignment horizontal="right" indent="1"/>
    </xf>
    <xf numFmtId="0" fontId="16" fillId="0" borderId="0" xfId="0" applyFont="1"/>
    <xf numFmtId="38" fontId="8" fillId="0" borderId="0" xfId="0" applyNumberFormat="1" applyFont="1"/>
    <xf numFmtId="0" fontId="8" fillId="0" borderId="15" xfId="0" applyFont="1" applyBorder="1" applyAlignment="1">
      <alignment horizontal="left" indent="1"/>
    </xf>
    <xf numFmtId="38" fontId="8" fillId="0" borderId="15" xfId="0" applyNumberFormat="1" applyFont="1" applyBorder="1"/>
    <xf numFmtId="0" fontId="8" fillId="0" borderId="15" xfId="0" applyFont="1" applyBorder="1"/>
    <xf numFmtId="0" fontId="13" fillId="0" borderId="17" xfId="0" applyFont="1" applyBorder="1"/>
    <xf numFmtId="164" fontId="13" fillId="0" borderId="17" xfId="0" applyNumberFormat="1" applyFont="1" applyBorder="1" applyAlignment="1">
      <alignment horizontal="right"/>
    </xf>
    <xf numFmtId="0" fontId="13" fillId="0" borderId="17" xfId="0" applyFont="1" applyBorder="1" applyAlignment="1">
      <alignment horizontal="right"/>
    </xf>
    <xf numFmtId="0" fontId="13" fillId="0" borderId="17" xfId="0" applyFont="1" applyBorder="1" applyAlignment="1">
      <alignment horizontal="center"/>
    </xf>
    <xf numFmtId="38" fontId="15" fillId="0" borderId="18" xfId="0" applyNumberFormat="1" applyFont="1" applyBorder="1"/>
    <xf numFmtId="165" fontId="15" fillId="0" borderId="18" xfId="0" applyNumberFormat="1" applyFont="1" applyBorder="1" applyAlignment="1">
      <alignment horizontal="right" indent="1"/>
    </xf>
    <xf numFmtId="38" fontId="17" fillId="3" borderId="9" xfId="0" applyNumberFormat="1" applyFont="1" applyFill="1" applyBorder="1"/>
    <xf numFmtId="165" fontId="17" fillId="3" borderId="10" xfId="0" applyNumberFormat="1" applyFont="1" applyFill="1" applyBorder="1" applyAlignment="1">
      <alignment horizontal="right" indent="1"/>
    </xf>
    <xf numFmtId="38" fontId="17" fillId="3" borderId="11" xfId="0" applyNumberFormat="1" applyFont="1" applyFill="1" applyBorder="1"/>
    <xf numFmtId="165" fontId="17" fillId="3" borderId="12" xfId="0" applyNumberFormat="1" applyFont="1" applyFill="1" applyBorder="1" applyAlignment="1">
      <alignment horizontal="right" indent="1"/>
    </xf>
    <xf numFmtId="38" fontId="17" fillId="3" borderId="13" xfId="0" applyNumberFormat="1" applyFont="1" applyFill="1" applyBorder="1"/>
    <xf numFmtId="165" fontId="17" fillId="3" borderId="14" xfId="0" applyNumberFormat="1" applyFont="1" applyFill="1" applyBorder="1" applyAlignment="1">
      <alignment horizontal="right" indent="1"/>
    </xf>
    <xf numFmtId="38" fontId="17" fillId="3" borderId="16" xfId="0" applyNumberFormat="1" applyFont="1" applyFill="1" applyBorder="1"/>
    <xf numFmtId="165" fontId="17" fillId="3" borderId="16" xfId="0" applyNumberFormat="1" applyFont="1" applyFill="1" applyBorder="1" applyAlignment="1">
      <alignment horizontal="right" indent="1"/>
    </xf>
    <xf numFmtId="38" fontId="17" fillId="3" borderId="12" xfId="0" applyNumberFormat="1" applyFont="1" applyFill="1" applyBorder="1"/>
    <xf numFmtId="38" fontId="17" fillId="3" borderId="14" xfId="0" applyNumberFormat="1" applyFont="1" applyFill="1" applyBorder="1"/>
    <xf numFmtId="0" fontId="20" fillId="0" borderId="0" xfId="0" applyFont="1" applyAlignment="1">
      <alignment horizontal="left" indent="1"/>
    </xf>
    <xf numFmtId="0" fontId="21" fillId="0" borderId="0" xfId="0" applyFont="1" applyAlignment="1">
      <alignment horizontal="left"/>
    </xf>
    <xf numFmtId="0" fontId="21" fillId="0" borderId="0" xfId="2" applyFont="1" applyAlignment="1">
      <alignment horizontal="left" indent="1"/>
    </xf>
    <xf numFmtId="0" fontId="20" fillId="0" borderId="0" xfId="3" applyFont="1" applyAlignment="1">
      <alignment horizontal="left" indent="2"/>
    </xf>
    <xf numFmtId="0" fontId="20" fillId="0" borderId="0" xfId="3" applyFont="1" applyAlignment="1">
      <alignment horizontal="left" indent="3"/>
    </xf>
    <xf numFmtId="0" fontId="21" fillId="0" borderId="0" xfId="2" applyFont="1" applyAlignment="1">
      <alignment horizontal="left" indent="2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8" fillId="3" borderId="20" xfId="0" applyFont="1" applyFill="1" applyBorder="1"/>
    <xf numFmtId="0" fontId="8" fillId="3" borderId="21" xfId="0" applyFont="1" applyFill="1" applyBorder="1"/>
    <xf numFmtId="0" fontId="13" fillId="0" borderId="19" xfId="0" applyFont="1" applyBorder="1"/>
    <xf numFmtId="38" fontId="17" fillId="3" borderId="0" xfId="0" applyNumberFormat="1" applyFont="1" applyFill="1"/>
    <xf numFmtId="165" fontId="17" fillId="3" borderId="0" xfId="0" applyNumberFormat="1" applyFont="1" applyFill="1" applyAlignment="1">
      <alignment horizontal="right" inden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left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horizontal="left" vertical="center"/>
    </xf>
  </cellXfs>
  <cellStyles count="7">
    <cellStyle name="Accent1" xfId="1" builtinId="29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Normal 2" xfId="6" xr:uid="{A413AEB3-9A9F-44A4-84E9-1F35D32CF0FE}"/>
  </cellStyles>
  <dxfs count="1">
    <dxf>
      <font>
        <color theme="7"/>
      </font>
    </dxf>
  </dxfs>
  <tableStyles count="0" defaultTableStyle="TableStyleMedium2" defaultPivotStyle="PivotStyleLight16"/>
  <colors>
    <mruColors>
      <color rgb="FFFFFFFF"/>
      <color rgb="FFEEEEEE"/>
      <color rgb="FFF7F7F7"/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1961072570217489E-2"/>
          <c:y val="0.3276918795860701"/>
          <c:w val="1"/>
          <c:h val="0.59465461954644017"/>
        </c:manualLayout>
      </c:layout>
      <c:barChart>
        <c:barDir val="bar"/>
        <c:grouping val="stacked"/>
        <c:varyColors val="0"/>
        <c:ser>
          <c:idx val="0"/>
          <c:order val="0"/>
          <c:tx>
            <c:v>Positive</c:v>
          </c:tx>
          <c:spPr>
            <a:noFill/>
            <a:ln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550-4B2E-84F0-E983AD94160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550-4B2E-84F0-E983AD94160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550-4B2E-84F0-E983AD941604}"/>
              </c:ext>
            </c:extLst>
          </c:dPt>
          <c:val>
            <c:numRef>
              <c:f>[0]!SelectedPeriodCashFlowPositive_Mirror</c:f>
              <c:numCache>
                <c:formatCode>General</c:formatCode>
                <c:ptCount val="3"/>
                <c:pt idx="0">
                  <c:v>0</c:v>
                </c:pt>
                <c:pt idx="1">
                  <c:v>1169</c:v>
                </c:pt>
                <c:pt idx="2">
                  <c:v>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50-4B2E-84F0-E983AD941604}"/>
            </c:ext>
          </c:extLst>
        </c:ser>
        <c:ser>
          <c:idx val="1"/>
          <c:order val="1"/>
          <c:tx>
            <c:v>Negative</c:v>
          </c:tx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8550-4B2E-84F0-E983AD941604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7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7-8550-4B2E-84F0-E983AD941604}"/>
              </c:ext>
            </c:extLst>
          </c:dPt>
          <c:dPt>
            <c:idx val="2"/>
            <c:invertIfNegative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9-8550-4B2E-84F0-E983AD941604}"/>
              </c:ext>
            </c:extLst>
          </c:dPt>
          <c:val>
            <c:numRef>
              <c:f>[0]!SelectedPeriodCashFlowNegative_Mirror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-1169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50-4B2E-84F0-E983AD94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483691008"/>
        <c:axId val="96119800"/>
      </c:barChart>
      <c:catAx>
        <c:axId val="483691008"/>
        <c:scaling>
          <c:orientation val="minMax"/>
        </c:scaling>
        <c:delete val="0"/>
        <c:axPos val="l"/>
        <c:numFmt formatCode=";;" sourceLinked="0"/>
        <c:majorTickMark val="none"/>
        <c:minorTickMark val="none"/>
        <c:tickLblPos val="nextTo"/>
        <c:spPr>
          <a:ln w="9525">
            <a:solidFill>
              <a:schemeClr val="bg1">
                <a:lumMod val="75000"/>
              </a:schemeClr>
            </a:solidFill>
          </a:ln>
        </c:spPr>
        <c:crossAx val="96119800"/>
        <c:crosses val="autoZero"/>
        <c:auto val="1"/>
        <c:lblAlgn val="ctr"/>
        <c:lblOffset val="100"/>
        <c:noMultiLvlLbl val="0"/>
      </c:catAx>
      <c:valAx>
        <c:axId val="96119800"/>
        <c:scaling>
          <c:orientation val="minMax"/>
          <c:max val="400"/>
          <c:min val="-400"/>
        </c:scaling>
        <c:delete val="1"/>
        <c:axPos val="b"/>
        <c:numFmt formatCode="General" sourceLinked="1"/>
        <c:majorTickMark val="out"/>
        <c:minorTickMark val="none"/>
        <c:tickLblPos val="nextTo"/>
        <c:crossAx val="483691008"/>
        <c:crosses val="autoZero"/>
        <c:crossBetween val="between"/>
        <c:majorUnit val="400"/>
      </c:valAx>
      <c:spPr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solidFill>
            <a:schemeClr val="tx1">
              <a:lumMod val="65000"/>
              <a:lumOff val="3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276848195056766"/>
          <c:y val="7.4307877302245973E-2"/>
          <c:w val="0.85723151804943232"/>
          <c:h val="0.55967520352696076"/>
        </c:manualLayout>
      </c:layout>
      <c:lineChart>
        <c:grouping val="standard"/>
        <c:varyColors val="0"/>
        <c:ser>
          <c:idx val="0"/>
          <c:order val="0"/>
          <c:tx>
            <c:v>Cash Flow</c:v>
          </c:tx>
          <c:spPr>
            <a:ln w="28575" cap="rnd" cmpd="sng" algn="ctr">
              <a:solidFill>
                <a:schemeClr val="accent1">
                  <a:shade val="6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chart_calcs!$D$12:$P$12</c:f>
              <c:strCache>
                <c:ptCount val="13"/>
                <c:pt idx="0">
                  <c:v>jan </c:v>
                </c:pt>
                <c:pt idx="1">
                  <c:v>feb </c:v>
                </c:pt>
                <c:pt idx="2">
                  <c:v>mar </c:v>
                </c:pt>
                <c:pt idx="3">
                  <c:v>apr </c:v>
                </c:pt>
                <c:pt idx="4">
                  <c:v>may </c:v>
                </c:pt>
                <c:pt idx="5">
                  <c:v>jun </c:v>
                </c:pt>
                <c:pt idx="6">
                  <c:v>jul </c:v>
                </c:pt>
                <c:pt idx="7">
                  <c:v>aug </c:v>
                </c:pt>
                <c:pt idx="8">
                  <c:v>sep </c:v>
                </c:pt>
                <c:pt idx="9">
                  <c:v>oct </c:v>
                </c:pt>
                <c:pt idx="10">
                  <c:v>nov </c:v>
                </c:pt>
                <c:pt idx="11">
                  <c:v>dec </c:v>
                </c:pt>
                <c:pt idx="12">
                  <c:v>year  </c:v>
                </c:pt>
              </c:strCache>
            </c:strRef>
          </c:cat>
          <c:val>
            <c:numRef>
              <c:f>'Monthly college budget'!$B$28:$N$28</c:f>
              <c:numCache>
                <c:formatCode>#,##0_);[Red]\(#,##0\)</c:formatCode>
                <c:ptCount val="13"/>
                <c:pt idx="0">
                  <c:v>43</c:v>
                </c:pt>
                <c:pt idx="1">
                  <c:v>619</c:v>
                </c:pt>
                <c:pt idx="2">
                  <c:v>1969</c:v>
                </c:pt>
                <c:pt idx="3">
                  <c:v>1169</c:v>
                </c:pt>
                <c:pt idx="4">
                  <c:v>1169</c:v>
                </c:pt>
                <c:pt idx="5">
                  <c:v>1169</c:v>
                </c:pt>
                <c:pt idx="6">
                  <c:v>1169</c:v>
                </c:pt>
                <c:pt idx="7">
                  <c:v>1169</c:v>
                </c:pt>
                <c:pt idx="8">
                  <c:v>1169</c:v>
                </c:pt>
                <c:pt idx="9">
                  <c:v>1169</c:v>
                </c:pt>
                <c:pt idx="10">
                  <c:v>1169</c:v>
                </c:pt>
                <c:pt idx="11">
                  <c:v>1169</c:v>
                </c:pt>
                <c:pt idx="12">
                  <c:v>13152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D-4ACA-AA43-BF5DFEC89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119408"/>
        <c:axId val="477185864"/>
      </c:lineChart>
      <c:scatterChart>
        <c:scatterStyle val="lineMarker"/>
        <c:varyColors val="0"/>
        <c:ser>
          <c:idx val="1"/>
          <c:order val="1"/>
          <c:tx>
            <c:v>Positive Selected Period</c:v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circle"/>
            <c:size val="14"/>
            <c:spPr>
              <a:solidFill>
                <a:schemeClr val="accent1"/>
              </a:solidFill>
              <a:ln w="9525" cap="flat" cmpd="sng" algn="ctr">
                <a:solidFill>
                  <a:schemeClr val="accent1"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yVal>
            <c:numRef>
              <c:f>chart_calcs!$D$14:$P$14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1169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6D-4ACA-AA43-BF5DFEC89C25}"/>
            </c:ext>
          </c:extLst>
        </c:ser>
        <c:ser>
          <c:idx val="2"/>
          <c:order val="2"/>
          <c:tx>
            <c:v>Negative Selected Period</c:v>
          </c:tx>
          <c:spPr>
            <a:ln w="28575" cap="rnd" cmpd="sng" algn="ctr">
              <a:noFill/>
              <a:prstDash val="solid"/>
              <a:round/>
            </a:ln>
            <a:effectLst/>
          </c:spPr>
          <c:marker>
            <c:symbol val="circle"/>
            <c:size val="14"/>
            <c:spPr>
              <a:solidFill>
                <a:schemeClr val="accent1">
                  <a:tint val="65000"/>
                </a:schemeClr>
              </a:solidFill>
              <a:ln w="9525" cap="flat" cmpd="sng" algn="ctr">
                <a:solidFill>
                  <a:schemeClr val="accent1">
                    <a:tint val="65000"/>
                    <a:shade val="95000"/>
                    <a:satMod val="105000"/>
                  </a:schemeClr>
                </a:solidFill>
                <a:prstDash val="solid"/>
                <a:round/>
              </a:ln>
              <a:effectLst/>
            </c:spPr>
          </c:marker>
          <c:yVal>
            <c:numRef>
              <c:f>chart_calcs!$D$15:$P$15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66D-4ACA-AA43-BF5DFEC89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119408"/>
        <c:axId val="477185864"/>
      </c:scatterChart>
      <c:catAx>
        <c:axId val="9611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3175" cap="flat" cmpd="sng" algn="ctr">
            <a:solidFill>
              <a:schemeClr val="bg1">
                <a:lumMod val="75000"/>
                <a:alpha val="5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0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477185864"/>
        <c:crosses val="autoZero"/>
        <c:auto val="1"/>
        <c:lblAlgn val="ctr"/>
        <c:lblOffset val="100"/>
        <c:noMultiLvlLbl val="0"/>
      </c:catAx>
      <c:valAx>
        <c:axId val="477185864"/>
        <c:scaling>
          <c:orientation val="minMax"/>
          <c:max val="1000"/>
        </c:scaling>
        <c:delete val="1"/>
        <c:axPos val="l"/>
        <c:numFmt formatCode="&quot;$&quot;#,##0" sourceLinked="0"/>
        <c:majorTickMark val="out"/>
        <c:minorTickMark val="none"/>
        <c:tickLblPos val="nextTo"/>
        <c:crossAx val="96119408"/>
        <c:crosses val="autoZero"/>
        <c:crossBetween val="between"/>
        <c:majorUnit val="2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0222298185081131"/>
          <c:y val="0.34625485336714895"/>
          <c:w val="0.64139311135561661"/>
          <c:h val="0.5571170578930364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F4A-4DC8-BFE4-89CFC23E741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F4A-4DC8-BFE4-89CFC23E741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F4A-4DC8-BFE4-89CFC23E741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F4A-4DC8-BFE4-89CFC23E741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F4A-4DC8-BFE4-89CFC23E7413}"/>
              </c:ext>
            </c:extLst>
          </c:dPt>
          <c:cat>
            <c:strRef>
              <c:f>[0]!CategoriesIncome</c:f>
              <c:strCache>
                <c:ptCount val="5"/>
                <c:pt idx="0">
                  <c:v>financial aid</c:v>
                </c:pt>
                <c:pt idx="1">
                  <c:v>wages (after-tax)</c:v>
                </c:pt>
                <c:pt idx="2">
                  <c:v>family help</c:v>
                </c:pt>
                <c:pt idx="3">
                  <c:v>from savings</c:v>
                </c:pt>
                <c:pt idx="4">
                  <c:v>other</c:v>
                </c:pt>
              </c:strCache>
            </c:strRef>
          </c:cat>
          <c:val>
            <c:numRef>
              <c:f>chart_calcs!$D$19:$D$23</c:f>
              <c:numCache>
                <c:formatCode>0.0%</c:formatCode>
                <c:ptCount val="5"/>
                <c:pt idx="0">
                  <c:v>0.63829787234042556</c:v>
                </c:pt>
                <c:pt idx="1">
                  <c:v>0</c:v>
                </c:pt>
                <c:pt idx="2">
                  <c:v>0.2978723404255319</c:v>
                </c:pt>
                <c:pt idx="3">
                  <c:v>0</c:v>
                </c:pt>
                <c:pt idx="4">
                  <c:v>6.3829787234042548E-2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4A-4DC8-BFE4-89CFC23E7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793827248"/>
        <c:axId val="793822984"/>
      </c:barChart>
      <c:valAx>
        <c:axId val="793822984"/>
        <c:scaling>
          <c:orientation val="minMax"/>
          <c:max val="0.5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75000"/>
                  <a:alpha val="2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317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27248"/>
        <c:crosses val="autoZero"/>
        <c:crossBetween val="between"/>
      </c:valAx>
      <c:catAx>
        <c:axId val="7938272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8229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>
          <a:solidFill>
            <a:schemeClr val="tx1">
              <a:lumMod val="65000"/>
              <a:lumOff val="3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589291453364252"/>
          <c:y val="0.34151120639906768"/>
          <c:w val="0.65730885998944011"/>
          <c:h val="0.56660435182919888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6A-455C-8A75-89D427D18BB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6A-455C-8A75-89D427D18BB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6A-455C-8A75-89D427D18BB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6A-455C-8A75-89D427D18BB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6A-455C-8A75-89D427D18BB9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1A5F-451A-BA1D-C10767E1A139}"/>
              </c:ext>
            </c:extLst>
          </c:dPt>
          <c:cat>
            <c:strRef>
              <c:f>[0]!CategoriesExpense</c:f>
              <c:strCache>
                <c:ptCount val="6"/>
                <c:pt idx="0">
                  <c:v>room &amp; board</c:v>
                </c:pt>
                <c:pt idx="1">
                  <c:v>tuition &amp; fees</c:v>
                </c:pt>
                <c:pt idx="2">
                  <c:v>books &amp; supplies</c:v>
                </c:pt>
                <c:pt idx="3">
                  <c:v>transportation</c:v>
                </c:pt>
                <c:pt idx="4">
                  <c:v>discretionary</c:v>
                </c:pt>
                <c:pt idx="5">
                  <c:v>other expenses</c:v>
                </c:pt>
              </c:strCache>
            </c:strRef>
          </c:cat>
          <c:val>
            <c:numRef>
              <c:f>[0]!PercentsExpense</c:f>
              <c:numCache>
                <c:formatCode>0.0%</c:formatCode>
                <c:ptCount val="6"/>
                <c:pt idx="0">
                  <c:v>0.16666666666666666</c:v>
                </c:pt>
                <c:pt idx="1">
                  <c:v>0.16666666666666666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6A-455C-8A75-89D427D18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793831512"/>
        <c:axId val="793830856"/>
      </c:barChart>
      <c:valAx>
        <c:axId val="793830856"/>
        <c:scaling>
          <c:orientation val="minMax"/>
          <c:max val="0.5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75000"/>
                  <a:alpha val="25000"/>
                </a:schemeClr>
              </a:solidFill>
              <a:prstDash val="solid"/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831512"/>
        <c:crosses val="autoZero"/>
        <c:crossBetween val="between"/>
      </c:valAx>
      <c:catAx>
        <c:axId val="793831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93830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prstDash val="solid"/>
      <a:round/>
    </a:ln>
    <a:effectLst/>
  </c:spPr>
  <c:txPr>
    <a:bodyPr/>
    <a:lstStyle/>
    <a:p>
      <a:pPr>
        <a:defRPr>
          <a:solidFill>
            <a:schemeClr val="tx1">
              <a:lumMod val="65000"/>
              <a:lumOff val="35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Scroll" dx="16" fmlaLink="chart_calcs!$D$13" horiz="1" max="13" min="1" page="3" val="6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20</xdr:row>
          <xdr:rowOff>101600</xdr:rowOff>
        </xdr:from>
        <xdr:to>
          <xdr:col>14</xdr:col>
          <xdr:colOff>406400</xdr:colOff>
          <xdr:row>21</xdr:row>
          <xdr:rowOff>114300</xdr:rowOff>
        </xdr:to>
        <xdr:sp macro="" textlink="">
          <xdr:nvSpPr>
            <xdr:cNvPr id="1032" name="Monthly Scroll" descr="Select to cycle the budget summary by month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oneCell">
    <xdr:from>
      <xdr:col>11</xdr:col>
      <xdr:colOff>321559</xdr:colOff>
      <xdr:row>2</xdr:row>
      <xdr:rowOff>123825</xdr:rowOff>
    </xdr:from>
    <xdr:to>
      <xdr:col>15</xdr:col>
      <xdr:colOff>95250</xdr:colOff>
      <xdr:row>14</xdr:row>
      <xdr:rowOff>79661</xdr:rowOff>
    </xdr:to>
    <xdr:graphicFrame macro="">
      <xdr:nvGraphicFramePr>
        <xdr:cNvPr id="16" name="Monthly Cash Flow" descr="Bar chart showing positive and negative cash flow for selected month or year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130630</xdr:colOff>
      <xdr:row>14</xdr:row>
      <xdr:rowOff>184184</xdr:rowOff>
    </xdr:from>
    <xdr:to>
      <xdr:col>14</xdr:col>
      <xdr:colOff>266702</xdr:colOff>
      <xdr:row>20</xdr:row>
      <xdr:rowOff>656</xdr:rowOff>
    </xdr:to>
    <xdr:graphicFrame macro="">
      <xdr:nvGraphicFramePr>
        <xdr:cNvPr id="3" name="Cash Flow By Month" descr="Line chart showing cash flow for the selected month or y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9526</xdr:colOff>
      <xdr:row>2</xdr:row>
      <xdr:rowOff>133350</xdr:rowOff>
    </xdr:from>
    <xdr:to>
      <xdr:col>2</xdr:col>
      <xdr:colOff>161739</xdr:colOff>
      <xdr:row>14</xdr:row>
      <xdr:rowOff>89186</xdr:rowOff>
    </xdr:to>
    <xdr:graphicFrame macro="">
      <xdr:nvGraphicFramePr>
        <xdr:cNvPr id="15" name="Monthly Income Summary" descr="Donut chart showing income summary for selected month or ye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482419</xdr:colOff>
      <xdr:row>3</xdr:row>
      <xdr:rowOff>28322</xdr:rowOff>
    </xdr:from>
    <xdr:to>
      <xdr:col>2</xdr:col>
      <xdr:colOff>482419</xdr:colOff>
      <xdr:row>14</xdr:row>
      <xdr:rowOff>47387</xdr:rowOff>
    </xdr:to>
    <xdr:cxnSp macro="">
      <xdr:nvCxnSpPr>
        <xdr:cNvPr id="19" name="Chart border 1" descr="Chart border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778194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114300</xdr:colOff>
      <xdr:row>2</xdr:row>
      <xdr:rowOff>133350</xdr:rowOff>
    </xdr:from>
    <xdr:to>
      <xdr:col>10</xdr:col>
      <xdr:colOff>502030</xdr:colOff>
      <xdr:row>14</xdr:row>
      <xdr:rowOff>160020</xdr:rowOff>
    </xdr:to>
    <xdr:graphicFrame macro="">
      <xdr:nvGraphicFramePr>
        <xdr:cNvPr id="21" name="Monthly Expense Summary" descr="Donut chart showing expenses summary for selected month or year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11</xdr:col>
      <xdr:colOff>82971</xdr:colOff>
      <xdr:row>3</xdr:row>
      <xdr:rowOff>28322</xdr:rowOff>
    </xdr:from>
    <xdr:to>
      <xdr:col>11</xdr:col>
      <xdr:colOff>82971</xdr:colOff>
      <xdr:row>14</xdr:row>
      <xdr:rowOff>47387</xdr:rowOff>
    </xdr:to>
    <xdr:cxnSp macro="">
      <xdr:nvCxnSpPr>
        <xdr:cNvPr id="22" name="Chart border 2" descr="Chart border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9179346" y="1780922"/>
          <a:ext cx="0" cy="2524140"/>
        </a:xfrm>
        <a:prstGeom prst="line">
          <a:avLst/>
        </a:prstGeom>
        <a:ln w="12700"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0.17913</cdr:y>
    </cdr:from>
    <cdr:to>
      <cdr:x>0.11685</cdr:x>
      <cdr:y>0.50958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0" y="172324"/>
          <a:ext cx="1230978" cy="31790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500" b="1">
              <a:solidFill>
                <a:schemeClr val="accent1">
                  <a:lumMod val="50000"/>
                </a:schemeClr>
              </a:solidFill>
              <a:latin typeface="+mj-lt"/>
            </a:rPr>
            <a:t>CASH FLOW</a:t>
          </a:r>
        </a:p>
      </cdr:txBody>
    </cdr:sp>
  </cdr:relSizeAnchor>
</c:userShape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Monthly College Budget">
      <a:dk1>
        <a:sysClr val="windowText" lastClr="000000"/>
      </a:dk1>
      <a:lt1>
        <a:sysClr val="window" lastClr="FFFFFF"/>
      </a:lt1>
      <a:dk2>
        <a:srgbClr val="000000"/>
      </a:dk2>
      <a:lt2>
        <a:srgbClr val="FFFFFF"/>
      </a:lt2>
      <a:accent1>
        <a:srgbClr val="67BCD1"/>
      </a:accent1>
      <a:accent2>
        <a:srgbClr val="F09912"/>
      </a:accent2>
      <a:accent3>
        <a:srgbClr val="6ECC9E"/>
      </a:accent3>
      <a:accent4>
        <a:srgbClr val="EB4A17"/>
      </a:accent4>
      <a:accent5>
        <a:srgbClr val="9942AC"/>
      </a:accent5>
      <a:accent6>
        <a:srgbClr val="F749A2"/>
      </a:accent6>
      <a:hlink>
        <a:srgbClr val="67BCD1"/>
      </a:hlink>
      <a:folHlink>
        <a:srgbClr val="9942AC"/>
      </a:folHlink>
    </a:clrScheme>
    <a:fontScheme name="Monthly College Budget">
      <a:majorFont>
        <a:latin typeface="Cambria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P120"/>
  <sheetViews>
    <sheetView showGridLines="0" tabSelected="1" zoomScaleNormal="100" workbookViewId="0">
      <selection activeCell="S108" sqref="S108"/>
    </sheetView>
  </sheetViews>
  <sheetFormatPr baseColWidth="10" defaultColWidth="9.19921875" defaultRowHeight="19.5" customHeight="1" x14ac:dyDescent="0.15"/>
  <cols>
    <col min="1" max="1" width="51.3984375" style="4" customWidth="1"/>
    <col min="2" max="14" width="8" style="4" customWidth="1"/>
    <col min="15" max="15" width="11.19921875" style="4" customWidth="1"/>
    <col min="16" max="16" width="8.3984375" style="4" customWidth="1"/>
    <col min="17" max="17" width="2.59765625" style="4" customWidth="1"/>
    <col min="18" max="16384" width="9.19921875" style="4"/>
  </cols>
  <sheetData>
    <row r="1" spans="1:16" ht="62" customHeight="1" x14ac:dyDescent="0.5">
      <c r="A1" s="34" t="s">
        <v>21</v>
      </c>
      <c r="P1" s="4" t="str">
        <f t="array" ref="P1:P20">""</f>
        <v/>
      </c>
    </row>
    <row r="2" spans="1:16" ht="19.5" customHeight="1" thickBot="1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4" t="str">
        <v/>
      </c>
    </row>
    <row r="3" spans="1:16" ht="15" customHeight="1" thickTop="1" x14ac:dyDescent="0.15">
      <c r="P3" s="4" t="str">
        <v/>
      </c>
    </row>
    <row r="4" spans="1:16" ht="19.5" customHeight="1" x14ac:dyDescent="0.2">
      <c r="A4" s="58" t="str">
        <f ca="1">chart_calcs!$D$6</f>
        <v>june income:</v>
      </c>
      <c r="D4" s="61" t="str">
        <f ca="1">chart_calcs!$D$7</f>
        <v>june expenses:</v>
      </c>
      <c r="L4" s="62" t="str">
        <f ca="1">chart_calcs!$D$8</f>
        <v>june cash flow:</v>
      </c>
      <c r="P4" s="4" t="str">
        <v/>
      </c>
    </row>
    <row r="5" spans="1:16" ht="38.25" customHeight="1" x14ac:dyDescent="0.4">
      <c r="A5" s="59" t="str">
        <f ca="1">"₹ " &amp; SUBSTITUTE(TEXT(chart_calcs!$F$6, "[$$-409]#,##0.00"), "$", "")</f>
        <v>₹ 1,175</v>
      </c>
      <c r="D5" s="60" t="str">
        <f ca="1">"₹ " &amp; SUBSTITUTE(TEXT(chart_calcs!$F$7, "[$$-409]#,##0.00"), "$", "")</f>
        <v>₹ 6</v>
      </c>
      <c r="L5" s="63" t="str">
        <f>"₹ " &amp; SUBSTITUTE(TEXT(chart_calcs!$F$8, "[$$-409]#,##0.00"), "$", "")</f>
        <v>₹ 1,169</v>
      </c>
      <c r="P5" s="4" t="str">
        <v/>
      </c>
    </row>
    <row r="6" spans="1:16" ht="19.5" customHeight="1" x14ac:dyDescent="0.15">
      <c r="A6" s="64"/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4" t="str">
        <v/>
      </c>
    </row>
    <row r="7" spans="1:16" ht="15" customHeight="1" x14ac:dyDescent="0.15">
      <c r="A7" s="75" t="s">
        <v>36</v>
      </c>
      <c r="B7" s="64"/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4" t="str">
        <v/>
      </c>
    </row>
    <row r="8" spans="1:16" ht="15" customHeight="1" x14ac:dyDescent="0.15">
      <c r="A8" s="77" t="s">
        <v>35</v>
      </c>
      <c r="B8" s="64"/>
      <c r="C8" s="64"/>
      <c r="D8" s="64"/>
      <c r="E8" s="72" t="s">
        <v>24</v>
      </c>
      <c r="F8" s="64"/>
      <c r="G8" s="64"/>
      <c r="H8" s="64"/>
      <c r="I8" s="64"/>
      <c r="J8" s="64"/>
      <c r="K8" s="64"/>
      <c r="L8" s="64"/>
      <c r="M8" s="64"/>
      <c r="N8" s="64"/>
      <c r="O8" s="64"/>
      <c r="P8" s="4" t="str">
        <v/>
      </c>
    </row>
    <row r="9" spans="1:16" ht="15" customHeight="1" x14ac:dyDescent="0.15">
      <c r="A9" s="77"/>
      <c r="B9" s="64"/>
      <c r="C9" s="64"/>
      <c r="D9" s="64"/>
      <c r="E9" s="73" t="s">
        <v>31</v>
      </c>
      <c r="F9" s="64"/>
      <c r="G9" s="64"/>
      <c r="H9" s="64"/>
      <c r="I9" s="64"/>
      <c r="J9" s="64"/>
      <c r="K9" s="64"/>
      <c r="L9" s="64"/>
      <c r="M9" s="64"/>
      <c r="N9" s="64"/>
      <c r="O9" s="64"/>
      <c r="P9" s="4" t="str">
        <v/>
      </c>
    </row>
    <row r="10" spans="1:16" ht="15" customHeight="1" x14ac:dyDescent="0.15">
      <c r="A10" s="15" t="s">
        <v>34</v>
      </c>
      <c r="B10" s="64"/>
      <c r="C10" s="64"/>
      <c r="D10" s="64"/>
      <c r="E10" s="76" t="s">
        <v>30</v>
      </c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4" t="str">
        <v/>
      </c>
    </row>
    <row r="11" spans="1:16" ht="15" customHeight="1" x14ac:dyDescent="0.15">
      <c r="A11" s="74"/>
      <c r="B11" s="64"/>
      <c r="C11" s="64"/>
      <c r="D11" s="64"/>
      <c r="E11" s="76"/>
      <c r="F11" s="64"/>
      <c r="G11" s="64"/>
      <c r="H11" s="64"/>
      <c r="I11" s="64"/>
      <c r="J11" s="64"/>
      <c r="K11" s="64"/>
      <c r="L11" s="64"/>
      <c r="M11" s="64"/>
      <c r="N11" s="64"/>
      <c r="O11" s="64"/>
      <c r="P11" s="4" t="str">
        <v/>
      </c>
    </row>
    <row r="12" spans="1:16" ht="15" customHeight="1" x14ac:dyDescent="0.15">
      <c r="A12" s="64"/>
      <c r="B12" s="64"/>
      <c r="C12" s="64"/>
      <c r="D12" s="64"/>
      <c r="E12" s="71" t="s">
        <v>28</v>
      </c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4" t="str">
        <v/>
      </c>
    </row>
    <row r="13" spans="1:16" ht="15" customHeight="1" x14ac:dyDescent="0.15">
      <c r="A13" s="74" t="s">
        <v>32</v>
      </c>
      <c r="B13" s="64"/>
      <c r="C13" s="64"/>
      <c r="D13" s="64"/>
      <c r="E13" s="76" t="s">
        <v>29</v>
      </c>
      <c r="F13" s="64"/>
      <c r="G13" s="64"/>
      <c r="H13" s="64"/>
      <c r="I13" s="64"/>
      <c r="J13" s="64"/>
      <c r="K13" s="64"/>
      <c r="L13" s="64"/>
      <c r="M13" s="64"/>
      <c r="N13" s="64"/>
      <c r="O13" s="64"/>
      <c r="P13" s="4" t="str">
        <v/>
      </c>
    </row>
    <row r="14" spans="1:16" ht="15" customHeight="1" x14ac:dyDescent="0.15">
      <c r="A14" s="64"/>
      <c r="B14" s="64"/>
      <c r="C14" s="64"/>
      <c r="D14" s="64"/>
      <c r="E14" s="76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4" t="str">
        <v/>
      </c>
    </row>
    <row r="15" spans="1:16" ht="15" customHeight="1" x14ac:dyDescent="0.15">
      <c r="A15" s="64"/>
      <c r="B15" s="64"/>
      <c r="C15" s="64"/>
      <c r="D15" s="64"/>
      <c r="E15" s="64"/>
      <c r="F15" s="64"/>
      <c r="G15" s="64"/>
      <c r="H15" s="64"/>
      <c r="I15" s="64"/>
      <c r="J15" s="64"/>
      <c r="K15" s="64"/>
      <c r="P15" s="4" t="str">
        <v/>
      </c>
    </row>
    <row r="16" spans="1:16" ht="15" customHeight="1" x14ac:dyDescent="0.1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4" t="str">
        <v/>
      </c>
    </row>
    <row r="17" spans="1:16" ht="15" customHeight="1" x14ac:dyDescent="0.1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4" t="str">
        <v/>
      </c>
    </row>
    <row r="18" spans="1:16" ht="15" customHeight="1" x14ac:dyDescent="0.1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4" t="str">
        <v/>
      </c>
    </row>
    <row r="19" spans="1:16" ht="15" customHeight="1" x14ac:dyDescent="0.1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4" t="str">
        <v/>
      </c>
    </row>
    <row r="20" spans="1:16" ht="15" customHeight="1" x14ac:dyDescent="0.1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4" t="str">
        <v/>
      </c>
    </row>
    <row r="21" spans="1:16" ht="15" customHeight="1" x14ac:dyDescent="0.1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</row>
    <row r="22" spans="1:16" ht="15" customHeight="1" x14ac:dyDescent="0.1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</row>
    <row r="23" spans="1:16" ht="15" customHeight="1" thickBot="1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</row>
    <row r="24" spans="1:16" ht="15" customHeight="1" thickTop="1" x14ac:dyDescent="0.15"/>
    <row r="25" spans="1:16" ht="19.5" customHeight="1" x14ac:dyDescent="0.15">
      <c r="A25" s="29" t="s">
        <v>16</v>
      </c>
    </row>
    <row r="26" spans="1:16" ht="19.5" customHeight="1" x14ac:dyDescent="0.15"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5" t="str">
        <f ca="1">SelectedPeriod</f>
        <v xml:space="preserve">JUN </v>
      </c>
    </row>
    <row r="27" spans="1:16" ht="19.5" customHeight="1" x14ac:dyDescent="0.2">
      <c r="A27" s="23" t="s">
        <v>5</v>
      </c>
      <c r="B27" s="26" t="str">
        <f ca="1">FirstMonth</f>
        <v xml:space="preserve">JAN </v>
      </c>
      <c r="C27" s="26" t="str">
        <f t="shared" ref="C27:M27" ca="1" si="0">NextMonth</f>
        <v xml:space="preserve">FEB </v>
      </c>
      <c r="D27" s="26" t="str">
        <f t="shared" ca="1" si="0"/>
        <v xml:space="preserve">MAR </v>
      </c>
      <c r="E27" s="26" t="str">
        <f t="shared" ca="1" si="0"/>
        <v xml:space="preserve">APR </v>
      </c>
      <c r="F27" s="26" t="str">
        <f t="shared" ca="1" si="0"/>
        <v xml:space="preserve">MAY </v>
      </c>
      <c r="G27" s="26" t="str">
        <f t="shared" ca="1" si="0"/>
        <v xml:space="preserve">JUN </v>
      </c>
      <c r="H27" s="26" t="str">
        <f t="shared" ca="1" si="0"/>
        <v xml:space="preserve">JUL </v>
      </c>
      <c r="I27" s="26" t="str">
        <f t="shared" ca="1" si="0"/>
        <v xml:space="preserve">AUG </v>
      </c>
      <c r="J27" s="26" t="str">
        <f t="shared" ca="1" si="0"/>
        <v xml:space="preserve">SEP </v>
      </c>
      <c r="K27" s="26" t="str">
        <f t="shared" ca="1" si="0"/>
        <v xml:space="preserve">OCT </v>
      </c>
      <c r="L27" s="26" t="str">
        <f t="shared" ca="1" si="0"/>
        <v xml:space="preserve">NOV </v>
      </c>
      <c r="M27" s="26" t="str">
        <f t="shared" ca="1" si="0"/>
        <v xml:space="preserve">DEC </v>
      </c>
      <c r="N27" s="27" t="s">
        <v>13</v>
      </c>
      <c r="O27" s="28" t="s">
        <v>14</v>
      </c>
      <c r="P27" s="5"/>
    </row>
    <row r="28" spans="1:16" ht="19.5" customHeight="1" thickBot="1" x14ac:dyDescent="0.2">
      <c r="A28" s="66" t="s">
        <v>19</v>
      </c>
      <c r="B28" s="10">
        <v>43</v>
      </c>
      <c r="C28" s="10">
        <f t="shared" ref="C28:M28" si="1">C37-C120</f>
        <v>619</v>
      </c>
      <c r="D28" s="10">
        <f t="shared" si="1"/>
        <v>1969</v>
      </c>
      <c r="E28" s="10">
        <f t="shared" si="1"/>
        <v>1169</v>
      </c>
      <c r="F28" s="10">
        <f t="shared" si="1"/>
        <v>1169</v>
      </c>
      <c r="G28" s="10">
        <f t="shared" si="1"/>
        <v>1169</v>
      </c>
      <c r="H28" s="10">
        <f t="shared" si="1"/>
        <v>1169</v>
      </c>
      <c r="I28" s="10">
        <f t="shared" si="1"/>
        <v>1169</v>
      </c>
      <c r="J28" s="10">
        <f t="shared" si="1"/>
        <v>1169</v>
      </c>
      <c r="K28" s="10">
        <f t="shared" si="1"/>
        <v>1169</v>
      </c>
      <c r="L28" s="10">
        <f t="shared" si="1"/>
        <v>1169</v>
      </c>
      <c r="M28" s="10">
        <f t="shared" si="1"/>
        <v>1169</v>
      </c>
      <c r="N28" s="10">
        <f>SUM(B28:M28)</f>
        <v>13152</v>
      </c>
      <c r="O28" s="11">
        <f ca="1">INDEX($B28:$N28,,SelectedPeriodColumn)/INDEX($B$37:$N$37,,SelectedPeriodColumn)</f>
        <v>0.99489361702127654</v>
      </c>
    </row>
    <row r="29" spans="1:16" ht="19.5" customHeight="1" x14ac:dyDescent="0.15">
      <c r="A29" s="67" t="s">
        <v>20</v>
      </c>
      <c r="B29" s="13">
        <v>23</v>
      </c>
      <c r="C29" s="13">
        <f>SUM($B$28:C$28)</f>
        <v>662</v>
      </c>
      <c r="D29" s="13">
        <f>SUM($B$28:D$28)</f>
        <v>2631</v>
      </c>
      <c r="E29" s="13">
        <f>SUM($B$28:E$28)</f>
        <v>3800</v>
      </c>
      <c r="F29" s="13">
        <f>SUM($B$28:F$28)</f>
        <v>4969</v>
      </c>
      <c r="G29" s="13">
        <f>SUM($B$28:G$28)</f>
        <v>6138</v>
      </c>
      <c r="H29" s="13">
        <f>SUM($B$28:H$28)</f>
        <v>7307</v>
      </c>
      <c r="I29" s="13">
        <f>SUM($B$28:I$28)</f>
        <v>8476</v>
      </c>
      <c r="J29" s="13">
        <f>SUM($B$28:J$28)</f>
        <v>9645</v>
      </c>
      <c r="K29" s="13">
        <f>SUM($B$28:K$28)</f>
        <v>10814</v>
      </c>
      <c r="L29" s="13">
        <f>SUM($B$28:L$28)</f>
        <v>11983</v>
      </c>
      <c r="M29" s="13">
        <f>SUM($B$28:M$28)</f>
        <v>13152</v>
      </c>
      <c r="N29" s="12"/>
      <c r="O29" s="12"/>
    </row>
    <row r="30" spans="1:16" ht="19.5" customHeight="1" thickBot="1" x14ac:dyDescent="0.2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</row>
    <row r="31" spans="1:16" ht="19.5" customHeight="1" thickTop="1" thickBot="1" x14ac:dyDescent="0.2">
      <c r="A31" s="30" t="s">
        <v>11</v>
      </c>
      <c r="B31" s="31" t="str">
        <f ca="1">FirstMonth</f>
        <v xml:space="preserve">JAN </v>
      </c>
      <c r="C31" s="31" t="str">
        <f t="shared" ref="C31:M31" ca="1" si="2">NextMonth</f>
        <v xml:space="preserve">FEB </v>
      </c>
      <c r="D31" s="31" t="str">
        <f t="shared" ca="1" si="2"/>
        <v xml:space="preserve">MAR </v>
      </c>
      <c r="E31" s="31" t="str">
        <f t="shared" ca="1" si="2"/>
        <v xml:space="preserve">APR </v>
      </c>
      <c r="F31" s="31" t="str">
        <f t="shared" ca="1" si="2"/>
        <v xml:space="preserve">MAY </v>
      </c>
      <c r="G31" s="31" t="str">
        <f t="shared" ca="1" si="2"/>
        <v xml:space="preserve">JUN </v>
      </c>
      <c r="H31" s="31" t="str">
        <f t="shared" ca="1" si="2"/>
        <v xml:space="preserve">JUL </v>
      </c>
      <c r="I31" s="31" t="str">
        <f t="shared" ca="1" si="2"/>
        <v xml:space="preserve">AUG </v>
      </c>
      <c r="J31" s="31" t="str">
        <f t="shared" ca="1" si="2"/>
        <v xml:space="preserve">SEP </v>
      </c>
      <c r="K31" s="31" t="str">
        <f t="shared" ca="1" si="2"/>
        <v xml:space="preserve">OCT </v>
      </c>
      <c r="L31" s="31" t="str">
        <f t="shared" ca="1" si="2"/>
        <v xml:space="preserve">NOV </v>
      </c>
      <c r="M31" s="31" t="str">
        <f t="shared" ca="1" si="2"/>
        <v xml:space="preserve">DEC </v>
      </c>
      <c r="N31" s="32" t="s">
        <v>13</v>
      </c>
      <c r="O31" s="33" t="s">
        <v>14</v>
      </c>
      <c r="P31" s="5"/>
    </row>
    <row r="32" spans="1:16" ht="19.5" customHeight="1" thickTop="1" x14ac:dyDescent="0.15">
      <c r="A32" s="15" t="s">
        <v>33</v>
      </c>
      <c r="B32" s="16">
        <v>43</v>
      </c>
      <c r="C32" s="16">
        <v>0</v>
      </c>
      <c r="D32" s="16">
        <v>750</v>
      </c>
      <c r="E32" s="16">
        <v>750</v>
      </c>
      <c r="F32" s="16">
        <v>750</v>
      </c>
      <c r="G32" s="16">
        <v>750</v>
      </c>
      <c r="H32" s="16">
        <v>750</v>
      </c>
      <c r="I32" s="16">
        <v>750</v>
      </c>
      <c r="J32" s="16">
        <v>750</v>
      </c>
      <c r="K32" s="16">
        <v>750</v>
      </c>
      <c r="L32" s="16">
        <v>750</v>
      </c>
      <c r="M32" s="16">
        <v>750</v>
      </c>
      <c r="N32" s="48">
        <f t="shared" ref="N32:N37" si="3">SUM(B32:M32)</f>
        <v>7543</v>
      </c>
      <c r="O32" s="49">
        <f ca="1">INDEX($B32:$N32,,SelectedPeriodColumn)/INDEX($B$37:$N$37,,SelectedPeriodColumn)</f>
        <v>0.63829787234042556</v>
      </c>
    </row>
    <row r="33" spans="1:16" ht="19.5" customHeight="1" x14ac:dyDescent="0.15">
      <c r="A33" s="17" t="s">
        <v>34</v>
      </c>
      <c r="B33" s="18">
        <v>2</v>
      </c>
      <c r="C33" s="18">
        <v>200</v>
      </c>
      <c r="D33" s="18">
        <v>1000</v>
      </c>
      <c r="E33" s="18">
        <v>350</v>
      </c>
      <c r="F33" s="18">
        <v>350</v>
      </c>
      <c r="G33" s="18">
        <v>350</v>
      </c>
      <c r="H33" s="18">
        <v>350</v>
      </c>
      <c r="I33" s="18">
        <v>350</v>
      </c>
      <c r="J33" s="18">
        <v>350</v>
      </c>
      <c r="K33" s="18">
        <v>350</v>
      </c>
      <c r="L33" s="18">
        <v>350</v>
      </c>
      <c r="M33" s="18">
        <v>350</v>
      </c>
      <c r="N33" s="50">
        <f t="shared" si="3"/>
        <v>4352</v>
      </c>
      <c r="O33" s="51">
        <f ca="1">INDEX($B33:$N33,,SelectedPeriodColumn)/INDEX($B$37:$N$37,,SelectedPeriodColumn)</f>
        <v>0.2978723404255319</v>
      </c>
    </row>
    <row r="34" spans="1:16" ht="19.5" customHeight="1" x14ac:dyDescent="0.15">
      <c r="A34" s="17" t="s">
        <v>3</v>
      </c>
      <c r="B34" s="18">
        <v>3</v>
      </c>
      <c r="C34" s="18">
        <v>350</v>
      </c>
      <c r="D34" s="18">
        <v>150</v>
      </c>
      <c r="E34" s="18">
        <v>0</v>
      </c>
      <c r="F34" s="18">
        <v>0</v>
      </c>
      <c r="G34" s="18">
        <v>0</v>
      </c>
      <c r="H34" s="18">
        <v>0</v>
      </c>
      <c r="I34" s="18">
        <v>0</v>
      </c>
      <c r="J34" s="18">
        <v>0</v>
      </c>
      <c r="K34" s="18">
        <v>0</v>
      </c>
      <c r="L34" s="18">
        <v>0</v>
      </c>
      <c r="M34" s="18">
        <v>0</v>
      </c>
      <c r="N34" s="50">
        <f t="shared" si="3"/>
        <v>503</v>
      </c>
      <c r="O34" s="51">
        <f ca="1">INDEX($B34:$N34,,SelectedPeriodColumn)/INDEX($B$37:$N$37,,SelectedPeriodColumn)</f>
        <v>0</v>
      </c>
    </row>
    <row r="35" spans="1:16" ht="19.5" customHeight="1" x14ac:dyDescent="0.15">
      <c r="A35" s="19" t="s">
        <v>22</v>
      </c>
      <c r="B35" s="20">
        <v>10</v>
      </c>
      <c r="C35" s="20">
        <v>75</v>
      </c>
      <c r="D35" s="20">
        <v>75</v>
      </c>
      <c r="E35" s="20">
        <v>75</v>
      </c>
      <c r="F35" s="20">
        <v>75</v>
      </c>
      <c r="G35" s="20">
        <v>75</v>
      </c>
      <c r="H35" s="20">
        <v>75</v>
      </c>
      <c r="I35" s="20">
        <v>75</v>
      </c>
      <c r="J35" s="20">
        <v>75</v>
      </c>
      <c r="K35" s="20">
        <v>75</v>
      </c>
      <c r="L35" s="20">
        <v>75</v>
      </c>
      <c r="M35" s="20">
        <v>75</v>
      </c>
      <c r="N35" s="52">
        <f t="shared" si="3"/>
        <v>835</v>
      </c>
      <c r="O35" s="53">
        <f ca="1">INDEX($B35:$N35,,SelectedPeriodColumn)/INDEX($B$37:$N$37,,SelectedPeriodColumn)</f>
        <v>6.3829787234042548E-2</v>
      </c>
    </row>
    <row r="36" spans="1:16" ht="19.5" customHeight="1" x14ac:dyDescent="0.15">
      <c r="A36" s="15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69"/>
      <c r="O36" s="70"/>
    </row>
    <row r="37" spans="1:16" ht="19.5" customHeight="1" x14ac:dyDescent="0.15">
      <c r="A37" s="68" t="s">
        <v>12</v>
      </c>
      <c r="B37" s="35">
        <f>SUM(B32:B36)</f>
        <v>58</v>
      </c>
      <c r="C37" s="35">
        <f t="shared" ref="C37:M37" si="4">SUM(C32:C35)</f>
        <v>625</v>
      </c>
      <c r="D37" s="35">
        <f t="shared" si="4"/>
        <v>1975</v>
      </c>
      <c r="E37" s="35">
        <f t="shared" si="4"/>
        <v>1175</v>
      </c>
      <c r="F37" s="35">
        <f t="shared" si="4"/>
        <v>1175</v>
      </c>
      <c r="G37" s="35">
        <f t="shared" si="4"/>
        <v>1175</v>
      </c>
      <c r="H37" s="35">
        <f t="shared" si="4"/>
        <v>1175</v>
      </c>
      <c r="I37" s="35">
        <f t="shared" si="4"/>
        <v>1175</v>
      </c>
      <c r="J37" s="35">
        <f t="shared" si="4"/>
        <v>1175</v>
      </c>
      <c r="K37" s="35">
        <f t="shared" si="4"/>
        <v>1175</v>
      </c>
      <c r="L37" s="35">
        <f t="shared" si="4"/>
        <v>1175</v>
      </c>
      <c r="M37" s="35">
        <f t="shared" si="4"/>
        <v>1175</v>
      </c>
      <c r="N37" s="35">
        <f t="shared" si="3"/>
        <v>13233</v>
      </c>
      <c r="O37" s="36">
        <f ca="1">INDEX($B37:$N37,,SelectedPeriodColumn)/INDEX($B$37:$N$37,,SelectedPeriodColumn)</f>
        <v>1</v>
      </c>
    </row>
    <row r="38" spans="1:16" ht="19.5" customHeight="1" thickBot="1" x14ac:dyDescent="0.2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</row>
    <row r="39" spans="1:16" ht="19.5" customHeight="1" thickTop="1" x14ac:dyDescent="0.15">
      <c r="A39" s="42" t="s">
        <v>23</v>
      </c>
      <c r="B39" s="43" t="str">
        <f ca="1">FirstMonth</f>
        <v xml:space="preserve">JAN </v>
      </c>
      <c r="C39" s="43" t="str">
        <f t="shared" ref="C39:M39" ca="1" si="5">NextMonth</f>
        <v xml:space="preserve">FEB </v>
      </c>
      <c r="D39" s="43" t="str">
        <f t="shared" ca="1" si="5"/>
        <v xml:space="preserve">MAR </v>
      </c>
      <c r="E39" s="43" t="str">
        <f t="shared" ca="1" si="5"/>
        <v xml:space="preserve">APR </v>
      </c>
      <c r="F39" s="43" t="str">
        <f t="shared" ca="1" si="5"/>
        <v xml:space="preserve">MAY </v>
      </c>
      <c r="G39" s="43" t="str">
        <f t="shared" ca="1" si="5"/>
        <v xml:space="preserve">JUN </v>
      </c>
      <c r="H39" s="43" t="str">
        <f t="shared" ca="1" si="5"/>
        <v xml:space="preserve">JUL </v>
      </c>
      <c r="I39" s="43" t="str">
        <f t="shared" ca="1" si="5"/>
        <v xml:space="preserve">AUG </v>
      </c>
      <c r="J39" s="43" t="str">
        <f t="shared" ca="1" si="5"/>
        <v xml:space="preserve">SEP </v>
      </c>
      <c r="K39" s="43" t="str">
        <f t="shared" ca="1" si="5"/>
        <v xml:space="preserve">OCT </v>
      </c>
      <c r="L39" s="43" t="str">
        <f t="shared" ca="1" si="5"/>
        <v xml:space="preserve">NOV </v>
      </c>
      <c r="M39" s="43" t="str">
        <f t="shared" ca="1" si="5"/>
        <v xml:space="preserve">DEC </v>
      </c>
      <c r="N39" s="44" t="s">
        <v>13</v>
      </c>
      <c r="O39" s="45" t="s">
        <v>14</v>
      </c>
      <c r="P39" s="5"/>
    </row>
    <row r="40" spans="1:16" ht="19.5" customHeight="1" x14ac:dyDescent="0.15">
      <c r="A40" s="37" t="s">
        <v>26</v>
      </c>
      <c r="B40" s="38">
        <v>1</v>
      </c>
      <c r="C40" s="38">
        <v>1</v>
      </c>
      <c r="D40" s="38">
        <v>1</v>
      </c>
      <c r="E40" s="38">
        <v>1</v>
      </c>
      <c r="F40" s="38">
        <v>1</v>
      </c>
      <c r="G40" s="38">
        <v>1</v>
      </c>
      <c r="H40" s="38">
        <v>1</v>
      </c>
      <c r="I40" s="38">
        <v>1</v>
      </c>
      <c r="J40" s="38">
        <v>1</v>
      </c>
      <c r="K40" s="38">
        <v>1</v>
      </c>
      <c r="L40" s="38">
        <v>1</v>
      </c>
      <c r="M40" s="38">
        <v>1</v>
      </c>
      <c r="N40" s="54">
        <f>SUM(B40:M40)</f>
        <v>12</v>
      </c>
      <c r="O40" s="55">
        <f ca="1">INDEX($B40:$N40,,SelectedPeriodColumn)/INDEX($B$120:$N$120,,SelectedPeriodColumn)</f>
        <v>0.16666666666666666</v>
      </c>
    </row>
    <row r="41" spans="1:16" ht="19.5" customHeight="1" x14ac:dyDescent="0.15">
      <c r="A41" s="21"/>
      <c r="B41" s="22">
        <v>2</v>
      </c>
      <c r="C41" s="22">
        <v>2</v>
      </c>
      <c r="D41" s="22">
        <v>2</v>
      </c>
      <c r="E41" s="22">
        <v>2</v>
      </c>
      <c r="F41" s="22">
        <v>2</v>
      </c>
      <c r="G41" s="22">
        <v>2</v>
      </c>
      <c r="H41" s="22">
        <v>2</v>
      </c>
      <c r="I41" s="22">
        <v>2</v>
      </c>
      <c r="J41" s="22">
        <v>2</v>
      </c>
      <c r="K41" s="22">
        <v>2</v>
      </c>
      <c r="L41" s="22">
        <v>2</v>
      </c>
      <c r="M41" s="22">
        <v>2</v>
      </c>
      <c r="N41" s="56">
        <f>SUM(B41:M41)</f>
        <v>24</v>
      </c>
      <c r="O41" s="51">
        <f ca="1">INDEX($B41:$N41,,SelectedPeriodColumn)/INDEX($B$120:$N$120,,SelectedPeriodColumn)</f>
        <v>0.33333333333333331</v>
      </c>
    </row>
    <row r="42" spans="1:16" ht="19.5" customHeight="1" x14ac:dyDescent="0.15">
      <c r="A42" s="21"/>
      <c r="B42" s="38">
        <v>3</v>
      </c>
      <c r="C42" s="38">
        <v>3</v>
      </c>
      <c r="D42" s="38">
        <v>3</v>
      </c>
      <c r="E42" s="38">
        <v>3</v>
      </c>
      <c r="F42" s="38">
        <v>3</v>
      </c>
      <c r="G42" s="38">
        <v>3</v>
      </c>
      <c r="H42" s="38">
        <v>3</v>
      </c>
      <c r="I42" s="38">
        <v>3</v>
      </c>
      <c r="J42" s="38">
        <v>3</v>
      </c>
      <c r="K42" s="38">
        <v>3</v>
      </c>
      <c r="L42" s="38">
        <v>3</v>
      </c>
      <c r="M42" s="38">
        <v>3</v>
      </c>
      <c r="N42" s="56">
        <f>SUM(B42:M42)</f>
        <v>36</v>
      </c>
      <c r="O42" s="51">
        <f ca="1">INDEX($B42:$N42,,SelectedPeriodColumn)/INDEX($B$120:$N$120,,SelectedPeriodColumn)</f>
        <v>0.5</v>
      </c>
    </row>
    <row r="43" spans="1:16" ht="19.5" customHeight="1" x14ac:dyDescent="0.15">
      <c r="A43" s="21"/>
      <c r="B43" s="22">
        <v>4</v>
      </c>
      <c r="C43" s="22">
        <v>4</v>
      </c>
      <c r="D43" s="22">
        <v>4</v>
      </c>
      <c r="E43" s="22">
        <v>4</v>
      </c>
      <c r="F43" s="22">
        <v>4</v>
      </c>
      <c r="G43" s="22">
        <v>4</v>
      </c>
      <c r="H43" s="22">
        <v>4</v>
      </c>
      <c r="I43" s="22">
        <v>4</v>
      </c>
      <c r="J43" s="22">
        <v>4</v>
      </c>
      <c r="K43" s="22">
        <v>4</v>
      </c>
      <c r="L43" s="22">
        <v>4</v>
      </c>
      <c r="M43" s="22">
        <v>4</v>
      </c>
      <c r="N43" s="57">
        <f>SUM(B43:M43)</f>
        <v>48</v>
      </c>
      <c r="O43" s="53">
        <f ca="1">INDEX($B43:$N43,,SelectedPeriodColumn)/INDEX($B$120:$N$120,,SelectedPeriodColumn)</f>
        <v>0.66666666666666663</v>
      </c>
    </row>
    <row r="44" spans="1:16" ht="19.5" customHeight="1" x14ac:dyDescent="0.15">
      <c r="A44" s="39"/>
      <c r="B44" s="40"/>
      <c r="C44" s="40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40"/>
      <c r="O44" s="41"/>
    </row>
    <row r="45" spans="1:16" ht="19.5" customHeight="1" x14ac:dyDescent="0.15">
      <c r="A45" s="37" t="s">
        <v>27</v>
      </c>
      <c r="B45" s="38">
        <v>1</v>
      </c>
      <c r="C45" s="38">
        <v>1</v>
      </c>
      <c r="D45" s="38">
        <v>1</v>
      </c>
      <c r="E45" s="38">
        <v>1</v>
      </c>
      <c r="F45" s="38">
        <v>1</v>
      </c>
      <c r="G45" s="38">
        <v>1</v>
      </c>
      <c r="H45" s="38">
        <v>1</v>
      </c>
      <c r="I45" s="38">
        <v>1</v>
      </c>
      <c r="J45" s="38">
        <v>1</v>
      </c>
      <c r="K45" s="38">
        <v>1</v>
      </c>
      <c r="L45" s="38">
        <v>1</v>
      </c>
      <c r="M45" s="38">
        <v>1</v>
      </c>
      <c r="N45" s="54">
        <f>SUM(B45:M45)</f>
        <v>12</v>
      </c>
      <c r="O45" s="55">
        <f ca="1">INDEX($B45:$N45,,SelectedPeriodColumn)/INDEX($B$120:$N$120,,SelectedPeriodColumn)</f>
        <v>0.16666666666666666</v>
      </c>
    </row>
    <row r="46" spans="1:16" ht="19.5" customHeight="1" x14ac:dyDescent="0.15">
      <c r="A46" s="21"/>
      <c r="B46" s="18">
        <v>2</v>
      </c>
      <c r="C46" s="18">
        <v>2</v>
      </c>
      <c r="D46" s="18">
        <v>2</v>
      </c>
      <c r="E46" s="18">
        <v>2</v>
      </c>
      <c r="F46" s="18">
        <v>2</v>
      </c>
      <c r="G46" s="18">
        <v>2</v>
      </c>
      <c r="H46" s="18">
        <v>2</v>
      </c>
      <c r="I46" s="18">
        <v>2</v>
      </c>
      <c r="J46" s="18">
        <v>2</v>
      </c>
      <c r="K46" s="18">
        <v>2</v>
      </c>
      <c r="L46" s="18">
        <v>2</v>
      </c>
      <c r="M46" s="18">
        <v>2</v>
      </c>
      <c r="N46" s="56">
        <f>SUM(B46:M46)</f>
        <v>24</v>
      </c>
      <c r="O46" s="51">
        <f ca="1">INDEX($B46:$N46,,SelectedPeriodColumn)/INDEX($B$120:$N$120,,SelectedPeriodColumn)</f>
        <v>0.33333333333333331</v>
      </c>
    </row>
    <row r="47" spans="1:16" ht="19.5" customHeight="1" x14ac:dyDescent="0.15">
      <c r="A47" s="21"/>
      <c r="B47" s="38">
        <v>3</v>
      </c>
      <c r="C47" s="38">
        <v>3</v>
      </c>
      <c r="D47" s="38">
        <v>3</v>
      </c>
      <c r="E47" s="38">
        <v>3</v>
      </c>
      <c r="F47" s="38">
        <v>3</v>
      </c>
      <c r="G47" s="38">
        <v>3</v>
      </c>
      <c r="H47" s="38">
        <v>3</v>
      </c>
      <c r="I47" s="38">
        <v>3</v>
      </c>
      <c r="J47" s="38">
        <v>3</v>
      </c>
      <c r="K47" s="38">
        <v>3</v>
      </c>
      <c r="L47" s="38">
        <v>3</v>
      </c>
      <c r="M47" s="38">
        <v>3</v>
      </c>
      <c r="N47" s="57"/>
      <c r="O47" s="53">
        <f ca="1">INDEX($B47:$N47,,SelectedPeriodColumn)/INDEX($B$120:$N$120,,SelectedPeriodColumn)</f>
        <v>0.5</v>
      </c>
    </row>
    <row r="48" spans="1:16" ht="19.5" customHeight="1" x14ac:dyDescent="0.15">
      <c r="A48" s="21"/>
      <c r="B48" s="18">
        <v>4</v>
      </c>
      <c r="C48" s="18">
        <v>4</v>
      </c>
      <c r="D48" s="18">
        <v>4</v>
      </c>
      <c r="E48" s="18">
        <v>4</v>
      </c>
      <c r="F48" s="18">
        <v>4</v>
      </c>
      <c r="G48" s="18">
        <v>4</v>
      </c>
      <c r="H48" s="18">
        <v>4</v>
      </c>
      <c r="I48" s="18">
        <v>4</v>
      </c>
      <c r="J48" s="18">
        <v>4</v>
      </c>
      <c r="K48" s="18">
        <v>4</v>
      </c>
      <c r="L48" s="18">
        <v>4</v>
      </c>
      <c r="M48" s="18">
        <v>4</v>
      </c>
      <c r="N48" s="57">
        <f>SUM(B48:M48)</f>
        <v>48</v>
      </c>
      <c r="O48" s="53">
        <f ca="1">INDEX($B48:$N48,,SelectedPeriodColumn)/INDEX($B$120:$N$120,,SelectedPeriodColumn)</f>
        <v>0.66666666666666663</v>
      </c>
    </row>
    <row r="49" spans="1:15" ht="19.5" customHeight="1" x14ac:dyDescent="0.15">
      <c r="A49" s="21"/>
      <c r="B49" s="38">
        <v>5</v>
      </c>
      <c r="C49" s="38">
        <v>5</v>
      </c>
      <c r="D49" s="38">
        <v>5</v>
      </c>
      <c r="E49" s="38">
        <v>5</v>
      </c>
      <c r="F49" s="38">
        <v>5</v>
      </c>
      <c r="G49" s="38">
        <v>5</v>
      </c>
      <c r="H49" s="38">
        <v>5</v>
      </c>
      <c r="I49" s="38">
        <v>5</v>
      </c>
      <c r="J49" s="38">
        <v>5</v>
      </c>
      <c r="K49" s="38">
        <v>5</v>
      </c>
      <c r="L49" s="38">
        <v>5</v>
      </c>
      <c r="M49" s="38">
        <v>5</v>
      </c>
      <c r="N49" s="56">
        <f>SUM(B49:M49)</f>
        <v>60</v>
      </c>
      <c r="O49" s="51">
        <f ca="1">INDEX($B49:$N49,,SelectedPeriodColumn)/INDEX($B$120:$N$120,,SelectedPeriodColumn)</f>
        <v>0.83333333333333337</v>
      </c>
    </row>
    <row r="50" spans="1:15" ht="19.5" customHeight="1" x14ac:dyDescent="0.15">
      <c r="A50" s="21"/>
      <c r="B50" s="18">
        <v>6</v>
      </c>
      <c r="C50" s="18">
        <v>6</v>
      </c>
      <c r="D50" s="18">
        <v>6</v>
      </c>
      <c r="E50" s="18">
        <v>6</v>
      </c>
      <c r="F50" s="18">
        <v>6</v>
      </c>
      <c r="G50" s="18">
        <v>6</v>
      </c>
      <c r="H50" s="18">
        <v>6</v>
      </c>
      <c r="I50" s="18">
        <v>6</v>
      </c>
      <c r="J50" s="18">
        <v>6</v>
      </c>
      <c r="K50" s="18">
        <v>6</v>
      </c>
      <c r="L50" s="18">
        <v>6</v>
      </c>
      <c r="M50" s="18">
        <v>6</v>
      </c>
      <c r="N50" s="57"/>
      <c r="O50" s="53">
        <f ca="1">INDEX($B50:$N50,,SelectedPeriodColumn)/INDEX($B$120:$N$120,,SelectedPeriodColumn)</f>
        <v>1</v>
      </c>
    </row>
    <row r="51" spans="1:15" ht="19.5" customHeight="1" x14ac:dyDescent="0.15">
      <c r="A51" s="21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57">
        <f>SUM(B51:M51)</f>
        <v>0</v>
      </c>
      <c r="O51" s="53">
        <f ca="1">INDEX($B51:$N51,,SelectedPeriodColumn)/INDEX($B$120:$N$120,,SelectedPeriodColumn)</f>
        <v>0</v>
      </c>
    </row>
    <row r="52" spans="1:15" ht="19.5" customHeight="1" x14ac:dyDescent="0.15">
      <c r="A52" s="39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1"/>
    </row>
    <row r="53" spans="1:15" ht="19.5" customHeight="1" x14ac:dyDescent="0.15">
      <c r="A53" s="37" t="s">
        <v>4</v>
      </c>
      <c r="B53" s="38">
        <v>1</v>
      </c>
      <c r="C53" s="38">
        <v>1</v>
      </c>
      <c r="D53" s="38">
        <v>1</v>
      </c>
      <c r="E53" s="38">
        <v>1</v>
      </c>
      <c r="F53" s="38">
        <v>1</v>
      </c>
      <c r="G53" s="38">
        <v>1</v>
      </c>
      <c r="H53" s="38">
        <v>1</v>
      </c>
      <c r="I53" s="38">
        <v>1</v>
      </c>
      <c r="J53" s="38">
        <v>1</v>
      </c>
      <c r="K53" s="38">
        <v>1</v>
      </c>
      <c r="L53" s="38">
        <v>1</v>
      </c>
      <c r="M53" s="38">
        <v>1</v>
      </c>
      <c r="N53" s="54">
        <f>SUM(B53:M53)</f>
        <v>12</v>
      </c>
      <c r="O53" s="55">
        <f ca="1">INDEX($B53:$N53,,SelectedPeriodColumn)/INDEX($B$120:$N$120,,SelectedPeriodColumn)</f>
        <v>0.16666666666666666</v>
      </c>
    </row>
    <row r="54" spans="1:15" ht="19.5" customHeight="1" x14ac:dyDescent="0.15">
      <c r="A54" s="15"/>
      <c r="B54" s="18">
        <v>2</v>
      </c>
      <c r="C54" s="18">
        <v>2</v>
      </c>
      <c r="D54" s="18">
        <v>2</v>
      </c>
      <c r="E54" s="18">
        <v>2</v>
      </c>
      <c r="F54" s="18">
        <v>2</v>
      </c>
      <c r="G54" s="18">
        <v>2</v>
      </c>
      <c r="H54" s="18">
        <v>2</v>
      </c>
      <c r="I54" s="18">
        <v>2</v>
      </c>
      <c r="J54" s="18">
        <v>2</v>
      </c>
      <c r="K54" s="18">
        <v>2</v>
      </c>
      <c r="L54" s="18">
        <v>2</v>
      </c>
      <c r="M54" s="18">
        <v>2</v>
      </c>
      <c r="N54" s="56">
        <f>SUM(B54:M54)</f>
        <v>24</v>
      </c>
      <c r="O54" s="51">
        <f ca="1">INDEX($B54:$N54,,SelectedPeriodColumn)/INDEX($B$120:$N$120,,SelectedPeriodColumn)</f>
        <v>0.33333333333333331</v>
      </c>
    </row>
    <row r="55" spans="1:15" ht="19.5" customHeight="1" x14ac:dyDescent="0.15">
      <c r="A55" s="15"/>
      <c r="B55" s="20">
        <v>3</v>
      </c>
      <c r="C55" s="20">
        <v>3</v>
      </c>
      <c r="D55" s="20">
        <v>3</v>
      </c>
      <c r="E55" s="20">
        <v>3</v>
      </c>
      <c r="F55" s="20">
        <v>3</v>
      </c>
      <c r="G55" s="20">
        <v>3</v>
      </c>
      <c r="H55" s="20">
        <v>3</v>
      </c>
      <c r="I55" s="20">
        <v>3</v>
      </c>
      <c r="J55" s="20">
        <v>3</v>
      </c>
      <c r="K55" s="20">
        <v>3</v>
      </c>
      <c r="L55" s="20">
        <v>3</v>
      </c>
      <c r="M55" s="20">
        <v>3</v>
      </c>
      <c r="N55" s="57">
        <f>SUM(B55:M55)</f>
        <v>36</v>
      </c>
      <c r="O55" s="53">
        <f ca="1">INDEX($B55:$N55,,SelectedPeriodColumn)/INDEX($B$120:$N$120,,SelectedPeriodColumn)</f>
        <v>0.5</v>
      </c>
    </row>
    <row r="56" spans="1:15" ht="19.5" customHeight="1" x14ac:dyDescent="0.15">
      <c r="A56" s="39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0"/>
      <c r="N56" s="40"/>
      <c r="O56" s="41"/>
    </row>
    <row r="57" spans="1:15" ht="19.5" customHeight="1" x14ac:dyDescent="0.15">
      <c r="A57" s="37" t="s">
        <v>37</v>
      </c>
      <c r="B57" s="38">
        <v>1</v>
      </c>
      <c r="C57" s="38">
        <v>1</v>
      </c>
      <c r="D57" s="38">
        <v>1</v>
      </c>
      <c r="E57" s="38">
        <v>1</v>
      </c>
      <c r="F57" s="38">
        <v>1</v>
      </c>
      <c r="G57" s="38">
        <v>1</v>
      </c>
      <c r="H57" s="38">
        <v>1</v>
      </c>
      <c r="I57" s="38">
        <v>1</v>
      </c>
      <c r="J57" s="38">
        <v>1</v>
      </c>
      <c r="K57" s="38">
        <v>1</v>
      </c>
      <c r="L57" s="38">
        <v>1</v>
      </c>
      <c r="M57" s="38">
        <v>1</v>
      </c>
      <c r="N57" s="54">
        <f>SUM(B57:M57)</f>
        <v>12</v>
      </c>
      <c r="O57" s="55">
        <f ca="1">INDEX($B57:$N57,,SelectedPeriodColumn)/INDEX($B$120:$N$120,,SelectedPeriodColumn)</f>
        <v>0.16666666666666666</v>
      </c>
    </row>
    <row r="58" spans="1:15" ht="19.5" customHeight="1" x14ac:dyDescent="0.15">
      <c r="A58" s="37"/>
      <c r="B58" s="4">
        <v>2</v>
      </c>
      <c r="C58" s="4">
        <v>2</v>
      </c>
      <c r="D58" s="4">
        <v>2</v>
      </c>
      <c r="E58" s="4">
        <v>2</v>
      </c>
      <c r="F58" s="4">
        <v>2</v>
      </c>
      <c r="G58" s="4">
        <v>2</v>
      </c>
      <c r="H58" s="4">
        <v>2</v>
      </c>
      <c r="I58" s="4">
        <v>2</v>
      </c>
      <c r="J58" s="4">
        <v>2</v>
      </c>
      <c r="K58" s="4">
        <v>2</v>
      </c>
      <c r="L58" s="4">
        <v>2</v>
      </c>
      <c r="M58" s="4">
        <v>2</v>
      </c>
      <c r="N58" s="54">
        <f>SUM(B58:M58)</f>
        <v>24</v>
      </c>
      <c r="O58" s="55">
        <f ca="1">INDEX($B58:$N58,,SelectedPeriodColumn)/INDEX($B$120:$N$120,,SelectedPeriodColumn)</f>
        <v>0.33333333333333331</v>
      </c>
    </row>
    <row r="59" spans="1:15" ht="19.5" customHeight="1" x14ac:dyDescent="0.15">
      <c r="A59" s="21"/>
      <c r="B59" s="18">
        <v>3</v>
      </c>
      <c r="C59" s="18">
        <v>3</v>
      </c>
      <c r="D59" s="18">
        <v>3</v>
      </c>
      <c r="E59" s="18">
        <v>3</v>
      </c>
      <c r="F59" s="18">
        <v>3</v>
      </c>
      <c r="G59" s="18">
        <v>3</v>
      </c>
      <c r="H59" s="18">
        <v>3</v>
      </c>
      <c r="I59" s="18">
        <v>3</v>
      </c>
      <c r="J59" s="18">
        <v>3</v>
      </c>
      <c r="K59" s="18">
        <v>3</v>
      </c>
      <c r="L59" s="18">
        <v>3</v>
      </c>
      <c r="M59" s="18">
        <v>3</v>
      </c>
      <c r="N59" s="56">
        <f>SUM(B59:M59)</f>
        <v>36</v>
      </c>
      <c r="O59" s="51">
        <f ca="1">INDEX($B59:$N59,,SelectedPeriodColumn)/INDEX($B$120:$N$120,,SelectedPeriodColumn)</f>
        <v>0.5</v>
      </c>
    </row>
    <row r="60" spans="1:15" ht="19.5" customHeight="1" x14ac:dyDescent="0.15">
      <c r="A60" s="21"/>
      <c r="B60" s="38">
        <v>4</v>
      </c>
      <c r="C60" s="38">
        <v>4</v>
      </c>
      <c r="D60" s="38">
        <v>4</v>
      </c>
      <c r="E60" s="38">
        <v>4</v>
      </c>
      <c r="F60" s="38">
        <v>4</v>
      </c>
      <c r="G60" s="38">
        <v>4</v>
      </c>
      <c r="H60" s="38">
        <v>4</v>
      </c>
      <c r="I60" s="38">
        <v>4</v>
      </c>
      <c r="J60" s="38">
        <v>4</v>
      </c>
      <c r="K60" s="38">
        <v>4</v>
      </c>
      <c r="L60" s="38">
        <v>4</v>
      </c>
      <c r="M60" s="38">
        <v>4</v>
      </c>
      <c r="N60" s="56">
        <f t="shared" ref="N60:N62" si="6">SUM(B60:M60)</f>
        <v>48</v>
      </c>
      <c r="O60" s="51">
        <f ca="1">INDEX($B60:$N60,,SelectedPeriodColumn)/INDEX($B$120:$N$120,,SelectedPeriodColumn)</f>
        <v>0.66666666666666663</v>
      </c>
    </row>
    <row r="61" spans="1:15" ht="19.5" customHeight="1" x14ac:dyDescent="0.15">
      <c r="A61" s="21"/>
      <c r="B61" s="4">
        <v>5</v>
      </c>
      <c r="C61" s="4">
        <v>5</v>
      </c>
      <c r="D61" s="4">
        <v>5</v>
      </c>
      <c r="E61" s="4">
        <v>5</v>
      </c>
      <c r="F61" s="4">
        <v>5</v>
      </c>
      <c r="G61" s="4">
        <v>5</v>
      </c>
      <c r="H61" s="4">
        <v>5</v>
      </c>
      <c r="I61" s="4">
        <v>5</v>
      </c>
      <c r="J61" s="4">
        <v>5</v>
      </c>
      <c r="K61" s="4">
        <v>5</v>
      </c>
      <c r="L61" s="4">
        <v>5</v>
      </c>
      <c r="M61" s="4">
        <v>5</v>
      </c>
      <c r="N61" s="56">
        <f t="shared" si="6"/>
        <v>60</v>
      </c>
      <c r="O61" s="51">
        <f ca="1">INDEX($B61:$N61,,SelectedPeriodColumn)/INDEX($B$120:$N$120,,SelectedPeriodColumn)</f>
        <v>0.83333333333333337</v>
      </c>
    </row>
    <row r="62" spans="1:15" ht="19.5" customHeight="1" x14ac:dyDescent="0.15">
      <c r="A62" s="21"/>
      <c r="B62" s="18">
        <v>6</v>
      </c>
      <c r="C62" s="18">
        <v>6</v>
      </c>
      <c r="D62" s="18">
        <v>6</v>
      </c>
      <c r="E62" s="18">
        <v>6</v>
      </c>
      <c r="F62" s="18">
        <v>6</v>
      </c>
      <c r="G62" s="18">
        <v>6</v>
      </c>
      <c r="H62" s="18">
        <v>6</v>
      </c>
      <c r="I62" s="18">
        <v>6</v>
      </c>
      <c r="J62" s="18">
        <v>6</v>
      </c>
      <c r="K62" s="18">
        <v>6</v>
      </c>
      <c r="L62" s="18">
        <v>6</v>
      </c>
      <c r="M62" s="18">
        <v>6</v>
      </c>
      <c r="N62" s="56">
        <f t="shared" si="6"/>
        <v>72</v>
      </c>
      <c r="O62" s="51">
        <f ca="1">INDEX($B62:$N62,,SelectedPeriodColumn)/INDEX($B$120:$N$120,,SelectedPeriodColumn)</f>
        <v>1</v>
      </c>
    </row>
    <row r="63" spans="1:15" ht="19.5" customHeight="1" x14ac:dyDescent="0.15">
      <c r="A63" s="21"/>
      <c r="B63" s="38">
        <v>7</v>
      </c>
      <c r="C63" s="38">
        <v>7</v>
      </c>
      <c r="D63" s="38">
        <v>7</v>
      </c>
      <c r="E63" s="38">
        <v>7</v>
      </c>
      <c r="F63" s="38">
        <v>7</v>
      </c>
      <c r="G63" s="38">
        <v>7</v>
      </c>
      <c r="H63" s="38">
        <v>7</v>
      </c>
      <c r="I63" s="38">
        <v>7</v>
      </c>
      <c r="J63" s="38">
        <v>7</v>
      </c>
      <c r="K63" s="38">
        <v>7</v>
      </c>
      <c r="L63" s="38">
        <v>7</v>
      </c>
      <c r="M63" s="38">
        <v>7</v>
      </c>
      <c r="N63" s="56">
        <f>SUM(B63:M63)</f>
        <v>84</v>
      </c>
      <c r="O63" s="51">
        <f ca="1">INDEX($B63:$N63,,SelectedPeriodColumn)/INDEX($B$120:$N$120,,SelectedPeriodColumn)</f>
        <v>1.1666666666666667</v>
      </c>
    </row>
    <row r="64" spans="1:15" ht="19.5" customHeight="1" x14ac:dyDescent="0.15">
      <c r="A64" s="21"/>
      <c r="B64" s="4">
        <v>8</v>
      </c>
      <c r="C64" s="4">
        <v>8</v>
      </c>
      <c r="D64" s="4">
        <v>8</v>
      </c>
      <c r="E64" s="4">
        <v>8</v>
      </c>
      <c r="F64" s="4">
        <v>8</v>
      </c>
      <c r="G64" s="4">
        <v>8</v>
      </c>
      <c r="H64" s="4">
        <v>8</v>
      </c>
      <c r="I64" s="4">
        <v>8</v>
      </c>
      <c r="J64" s="4">
        <v>8</v>
      </c>
      <c r="K64" s="4">
        <v>8</v>
      </c>
      <c r="L64" s="4">
        <v>8</v>
      </c>
      <c r="M64" s="4">
        <v>8</v>
      </c>
      <c r="N64" s="56">
        <f>SUM(B64:M64)</f>
        <v>96</v>
      </c>
      <c r="O64" s="51">
        <f ca="1">INDEX($B64:$N64,,SelectedPeriodColumn)/INDEX($B$120:$N$120,,SelectedPeriodColumn)</f>
        <v>1.3333333333333333</v>
      </c>
    </row>
    <row r="65" spans="1:15" ht="19.5" customHeight="1" x14ac:dyDescent="0.15">
      <c r="A65" s="21"/>
      <c r="B65" s="18">
        <v>9</v>
      </c>
      <c r="C65" s="18">
        <v>9</v>
      </c>
      <c r="D65" s="18">
        <v>9</v>
      </c>
      <c r="E65" s="18">
        <v>9</v>
      </c>
      <c r="F65" s="18">
        <v>9</v>
      </c>
      <c r="G65" s="18">
        <v>9</v>
      </c>
      <c r="H65" s="18">
        <v>9</v>
      </c>
      <c r="I65" s="18">
        <v>9</v>
      </c>
      <c r="J65" s="18">
        <v>9</v>
      </c>
      <c r="K65" s="18">
        <v>9</v>
      </c>
      <c r="L65" s="18">
        <v>9</v>
      </c>
      <c r="M65" s="18">
        <v>9</v>
      </c>
      <c r="N65" s="56">
        <f>SUM(B65:M65)</f>
        <v>108</v>
      </c>
      <c r="O65" s="51">
        <f ca="1">INDEX($B65:$N65,,SelectedPeriodColumn)/INDEX($B$120:$N$120,,SelectedPeriodColumn)</f>
        <v>1.5</v>
      </c>
    </row>
    <row r="66" spans="1:15" ht="19.5" customHeight="1" x14ac:dyDescent="0.15">
      <c r="A66" s="21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57">
        <f>SUM(B66:M66)</f>
        <v>0</v>
      </c>
      <c r="O66" s="53">
        <f ca="1">INDEX($B66:$N66,,SelectedPeriodColumn)/INDEX($B$120:$N$120,,SelectedPeriodColumn)</f>
        <v>0</v>
      </c>
    </row>
    <row r="67" spans="1:15" ht="19.5" customHeight="1" x14ac:dyDescent="0.15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</row>
    <row r="68" spans="1:15" ht="19.5" customHeight="1" x14ac:dyDescent="0.15">
      <c r="A68" s="37" t="s">
        <v>24</v>
      </c>
      <c r="B68" s="38">
        <v>1</v>
      </c>
      <c r="C68" s="38">
        <v>1</v>
      </c>
      <c r="D68" s="38">
        <v>1</v>
      </c>
      <c r="E68" s="38">
        <v>1</v>
      </c>
      <c r="F68" s="38">
        <v>1</v>
      </c>
      <c r="G68" s="38">
        <v>1</v>
      </c>
      <c r="H68" s="38">
        <v>1</v>
      </c>
      <c r="I68" s="38">
        <v>1</v>
      </c>
      <c r="J68" s="38">
        <v>1</v>
      </c>
      <c r="K68" s="38">
        <v>1</v>
      </c>
      <c r="L68" s="38">
        <v>1</v>
      </c>
      <c r="M68" s="38">
        <v>1</v>
      </c>
      <c r="N68" s="54">
        <f t="shared" ref="N68:N74" si="7">SUM(B68:M68)</f>
        <v>12</v>
      </c>
      <c r="O68" s="55">
        <f ca="1">INDEX($B68:$N68,,SelectedPeriodColumn)/INDEX($B$120:$N$120,,SelectedPeriodColumn)</f>
        <v>0.16666666666666666</v>
      </c>
    </row>
    <row r="69" spans="1:15" ht="19.5" customHeight="1" x14ac:dyDescent="0.15">
      <c r="A69" s="21"/>
      <c r="B69" s="18">
        <v>2</v>
      </c>
      <c r="C69" s="18">
        <v>2</v>
      </c>
      <c r="D69" s="18">
        <v>2</v>
      </c>
      <c r="E69" s="18">
        <v>2</v>
      </c>
      <c r="F69" s="18">
        <v>2</v>
      </c>
      <c r="G69" s="18">
        <v>2</v>
      </c>
      <c r="H69" s="18">
        <v>2</v>
      </c>
      <c r="I69" s="18">
        <v>2</v>
      </c>
      <c r="J69" s="18">
        <v>2</v>
      </c>
      <c r="K69" s="18">
        <v>2</v>
      </c>
      <c r="L69" s="18">
        <v>2</v>
      </c>
      <c r="M69" s="18">
        <v>2</v>
      </c>
      <c r="N69" s="56">
        <f t="shared" si="7"/>
        <v>24</v>
      </c>
      <c r="O69" s="51">
        <f ca="1">INDEX($B69:$N69,,SelectedPeriodColumn)/INDEX($B$120:$N$120,,SelectedPeriodColumn)</f>
        <v>0.33333333333333331</v>
      </c>
    </row>
    <row r="70" spans="1:15" ht="19.5" customHeight="1" x14ac:dyDescent="0.15">
      <c r="A70" s="21"/>
      <c r="B70" s="38">
        <v>3</v>
      </c>
      <c r="C70" s="38">
        <v>3</v>
      </c>
      <c r="D70" s="38">
        <v>3</v>
      </c>
      <c r="E70" s="38">
        <v>3</v>
      </c>
      <c r="F70" s="38">
        <v>3</v>
      </c>
      <c r="G70" s="38">
        <v>3</v>
      </c>
      <c r="H70" s="38">
        <v>3</v>
      </c>
      <c r="I70" s="38">
        <v>3</v>
      </c>
      <c r="J70" s="38">
        <v>3</v>
      </c>
      <c r="K70" s="38">
        <v>3</v>
      </c>
      <c r="L70" s="38">
        <v>3</v>
      </c>
      <c r="M70" s="38">
        <v>3</v>
      </c>
      <c r="N70" s="56">
        <f t="shared" si="7"/>
        <v>36</v>
      </c>
      <c r="O70" s="51">
        <f ca="1">INDEX($B70:$N70,,SelectedPeriodColumn)/INDEX($B$120:$N$120,,SelectedPeriodColumn)</f>
        <v>0.5</v>
      </c>
    </row>
    <row r="71" spans="1:15" ht="19.5" customHeight="1" x14ac:dyDescent="0.15">
      <c r="A71" s="21"/>
      <c r="B71" s="18">
        <v>4</v>
      </c>
      <c r="C71" s="18">
        <v>4</v>
      </c>
      <c r="D71" s="18">
        <v>4</v>
      </c>
      <c r="E71" s="18">
        <v>4</v>
      </c>
      <c r="F71" s="18">
        <v>4</v>
      </c>
      <c r="G71" s="18">
        <v>4</v>
      </c>
      <c r="H71" s="18">
        <v>4</v>
      </c>
      <c r="I71" s="18">
        <v>4</v>
      </c>
      <c r="J71" s="18">
        <v>4</v>
      </c>
      <c r="K71" s="18">
        <v>4</v>
      </c>
      <c r="L71" s="18">
        <v>4</v>
      </c>
      <c r="M71" s="18">
        <v>4</v>
      </c>
      <c r="N71" s="56">
        <f t="shared" si="7"/>
        <v>48</v>
      </c>
      <c r="O71" s="51">
        <f ca="1">INDEX($B71:$N71,,SelectedPeriodColumn)/INDEX($B$120:$N$120,,SelectedPeriodColumn)</f>
        <v>0.66666666666666663</v>
      </c>
    </row>
    <row r="72" spans="1:15" ht="19.5" customHeight="1" x14ac:dyDescent="0.15">
      <c r="A72" s="21"/>
      <c r="B72" s="38">
        <v>5</v>
      </c>
      <c r="C72" s="38">
        <v>5</v>
      </c>
      <c r="D72" s="38">
        <v>5</v>
      </c>
      <c r="E72" s="38">
        <v>5</v>
      </c>
      <c r="F72" s="38">
        <v>5</v>
      </c>
      <c r="G72" s="38">
        <v>5</v>
      </c>
      <c r="H72" s="38">
        <v>5</v>
      </c>
      <c r="I72" s="38">
        <v>5</v>
      </c>
      <c r="J72" s="38">
        <v>5</v>
      </c>
      <c r="K72" s="38">
        <v>5</v>
      </c>
      <c r="L72" s="38">
        <v>5</v>
      </c>
      <c r="M72" s="38">
        <v>5</v>
      </c>
      <c r="N72" s="56">
        <f t="shared" si="7"/>
        <v>60</v>
      </c>
      <c r="O72" s="51">
        <f ca="1">INDEX($B72:$N72,,SelectedPeriodColumn)/INDEX($B$120:$N$120,,SelectedPeriodColumn)</f>
        <v>0.83333333333333337</v>
      </c>
    </row>
    <row r="73" spans="1:15" ht="19.5" customHeight="1" x14ac:dyDescent="0.15">
      <c r="A73" s="21"/>
      <c r="B73" s="18">
        <v>6</v>
      </c>
      <c r="C73" s="18">
        <v>6</v>
      </c>
      <c r="D73" s="18">
        <v>6</v>
      </c>
      <c r="E73" s="18">
        <v>6</v>
      </c>
      <c r="F73" s="18">
        <v>6</v>
      </c>
      <c r="G73" s="18">
        <v>6</v>
      </c>
      <c r="H73" s="18">
        <v>6</v>
      </c>
      <c r="I73" s="18">
        <v>6</v>
      </c>
      <c r="J73" s="18">
        <v>6</v>
      </c>
      <c r="K73" s="18">
        <v>6</v>
      </c>
      <c r="L73" s="18">
        <v>6</v>
      </c>
      <c r="M73" s="18">
        <v>6</v>
      </c>
      <c r="N73" s="56">
        <f t="shared" si="7"/>
        <v>72</v>
      </c>
      <c r="O73" s="51">
        <f ca="1">INDEX($B73:$N73,,SelectedPeriodColumn)/INDEX($B$120:$N$120,,SelectedPeriodColumn)</f>
        <v>1</v>
      </c>
    </row>
    <row r="74" spans="1:15" ht="19.5" customHeight="1" x14ac:dyDescent="0.15">
      <c r="A74" s="21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57">
        <f t="shared" si="7"/>
        <v>0</v>
      </c>
      <c r="O74" s="53">
        <f ca="1">INDEX($B74:$N74,,SelectedPeriodColumn)/INDEX($B$120:$N$120,,SelectedPeriodColumn)</f>
        <v>0</v>
      </c>
    </row>
    <row r="75" spans="1:15" ht="19.5" customHeight="1" x14ac:dyDescent="0.15">
      <c r="A75" s="39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</row>
    <row r="76" spans="1:15" ht="19.5" customHeight="1" x14ac:dyDescent="0.15">
      <c r="A76" s="37" t="s">
        <v>25</v>
      </c>
      <c r="B76" s="38">
        <v>1</v>
      </c>
      <c r="C76" s="38">
        <v>1</v>
      </c>
      <c r="D76" s="38">
        <v>1</v>
      </c>
      <c r="E76" s="38">
        <v>1</v>
      </c>
      <c r="F76" s="38">
        <v>1</v>
      </c>
      <c r="G76" s="38">
        <v>1</v>
      </c>
      <c r="H76" s="38">
        <v>1</v>
      </c>
      <c r="I76" s="38">
        <v>1</v>
      </c>
      <c r="J76" s="38">
        <v>1</v>
      </c>
      <c r="K76" s="38">
        <v>1</v>
      </c>
      <c r="L76" s="38">
        <v>1</v>
      </c>
      <c r="M76" s="38">
        <v>1</v>
      </c>
      <c r="N76" s="54">
        <f>SUM(B76:M76)</f>
        <v>12</v>
      </c>
      <c r="O76" s="55">
        <f ca="1">INDEX($B76:$N76,,SelectedPeriodColumn)/INDEX($B$120:$N$120,,SelectedPeriodColumn)</f>
        <v>0.16666666666666666</v>
      </c>
    </row>
    <row r="77" spans="1:15" ht="19.5" customHeight="1" x14ac:dyDescent="0.15">
      <c r="A77" s="21"/>
      <c r="B77" s="18">
        <v>2</v>
      </c>
      <c r="C77" s="18">
        <v>2</v>
      </c>
      <c r="D77" s="18">
        <v>2</v>
      </c>
      <c r="E77" s="18">
        <v>2</v>
      </c>
      <c r="F77" s="18">
        <v>2</v>
      </c>
      <c r="G77" s="18">
        <v>2</v>
      </c>
      <c r="H77" s="18">
        <v>2</v>
      </c>
      <c r="I77" s="18">
        <v>2</v>
      </c>
      <c r="J77" s="18">
        <v>2</v>
      </c>
      <c r="K77" s="18">
        <v>2</v>
      </c>
      <c r="L77" s="18">
        <v>2</v>
      </c>
      <c r="M77" s="18">
        <v>2</v>
      </c>
      <c r="N77" s="56">
        <f>SUM(B77:M77)</f>
        <v>24</v>
      </c>
      <c r="O77" s="51">
        <f ca="1">INDEX($B77:$N77,,SelectedPeriodColumn)/INDEX($B$120:$N$120,,SelectedPeriodColumn)</f>
        <v>0.33333333333333331</v>
      </c>
    </row>
    <row r="78" spans="1:15" ht="19.5" customHeight="1" x14ac:dyDescent="0.15">
      <c r="A78" s="21"/>
      <c r="B78" s="38">
        <v>3</v>
      </c>
      <c r="C78" s="38">
        <v>3</v>
      </c>
      <c r="D78" s="38">
        <v>3</v>
      </c>
      <c r="E78" s="38">
        <v>3</v>
      </c>
      <c r="F78" s="38">
        <v>3</v>
      </c>
      <c r="G78" s="38">
        <v>3</v>
      </c>
      <c r="H78" s="38">
        <v>3</v>
      </c>
      <c r="I78" s="38">
        <v>3</v>
      </c>
      <c r="J78" s="38">
        <v>3</v>
      </c>
      <c r="K78" s="38">
        <v>3</v>
      </c>
      <c r="L78" s="38">
        <v>3</v>
      </c>
      <c r="M78" s="38">
        <v>3</v>
      </c>
      <c r="N78" s="56">
        <f>SUM(B78:M78)</f>
        <v>36</v>
      </c>
      <c r="O78" s="51">
        <f ca="1">INDEX($B78:$N78,,SelectedPeriodColumn)/INDEX($B$120:$N$120,,SelectedPeriodColumn)</f>
        <v>0.5</v>
      </c>
    </row>
    <row r="79" spans="1:15" ht="19.5" customHeight="1" x14ac:dyDescent="0.15">
      <c r="A79" s="21"/>
      <c r="B79" s="18">
        <v>4</v>
      </c>
      <c r="C79" s="18">
        <v>4</v>
      </c>
      <c r="D79" s="18">
        <v>4</v>
      </c>
      <c r="E79" s="18">
        <v>4</v>
      </c>
      <c r="F79" s="18">
        <v>4</v>
      </c>
      <c r="G79" s="18">
        <v>4</v>
      </c>
      <c r="H79" s="18">
        <v>4</v>
      </c>
      <c r="I79" s="18">
        <v>4</v>
      </c>
      <c r="J79" s="18">
        <v>4</v>
      </c>
      <c r="K79" s="18">
        <v>4</v>
      </c>
      <c r="L79" s="18">
        <v>4</v>
      </c>
      <c r="M79" s="18">
        <v>4</v>
      </c>
      <c r="N79" s="56">
        <f t="shared" ref="N79:N117" si="8">SUM(B79:M79)</f>
        <v>48</v>
      </c>
      <c r="O79" s="51">
        <f ca="1">INDEX($B79:$N79,,SelectedPeriodColumn)/INDEX($B$120:$N$120,,SelectedPeriodColumn)</f>
        <v>0.66666666666666663</v>
      </c>
    </row>
    <row r="80" spans="1:15" ht="19.5" customHeight="1" x14ac:dyDescent="0.15">
      <c r="A80" s="21"/>
      <c r="B80" s="38">
        <v>5</v>
      </c>
      <c r="C80" s="38">
        <v>5</v>
      </c>
      <c r="D80" s="38">
        <v>5</v>
      </c>
      <c r="E80" s="38">
        <v>5</v>
      </c>
      <c r="F80" s="38">
        <v>5</v>
      </c>
      <c r="G80" s="38">
        <v>5</v>
      </c>
      <c r="H80" s="38">
        <v>5</v>
      </c>
      <c r="I80" s="38">
        <v>5</v>
      </c>
      <c r="J80" s="38">
        <v>5</v>
      </c>
      <c r="K80" s="38">
        <v>5</v>
      </c>
      <c r="L80" s="38">
        <v>5</v>
      </c>
      <c r="M80" s="38">
        <v>5</v>
      </c>
      <c r="N80" s="56">
        <f t="shared" si="8"/>
        <v>60</v>
      </c>
      <c r="O80" s="51">
        <f ca="1">INDEX($B80:$N80,,SelectedPeriodColumn)/INDEX($B$120:$N$120,,SelectedPeriodColumn)</f>
        <v>0.83333333333333337</v>
      </c>
    </row>
    <row r="81" spans="1:15" ht="19.5" customHeight="1" x14ac:dyDescent="0.15">
      <c r="A81" s="21"/>
      <c r="B81" s="18">
        <v>6</v>
      </c>
      <c r="C81" s="18">
        <v>6</v>
      </c>
      <c r="D81" s="18">
        <v>6</v>
      </c>
      <c r="E81" s="18">
        <v>6</v>
      </c>
      <c r="F81" s="18">
        <v>6</v>
      </c>
      <c r="G81" s="18">
        <v>6</v>
      </c>
      <c r="H81" s="18">
        <v>6</v>
      </c>
      <c r="I81" s="18">
        <v>6</v>
      </c>
      <c r="J81" s="18">
        <v>6</v>
      </c>
      <c r="K81" s="18">
        <v>6</v>
      </c>
      <c r="L81" s="18">
        <v>6</v>
      </c>
      <c r="M81" s="18">
        <v>6</v>
      </c>
      <c r="N81" s="56">
        <f t="shared" si="8"/>
        <v>72</v>
      </c>
      <c r="O81" s="51">
        <f ca="1">INDEX($B81:$N81,,SelectedPeriodColumn)/INDEX($B$120:$N$120,,SelectedPeriodColumn)</f>
        <v>1</v>
      </c>
    </row>
    <row r="82" spans="1:15" ht="19.5" customHeight="1" x14ac:dyDescent="0.15">
      <c r="A82" s="21"/>
      <c r="B82" s="38">
        <v>7</v>
      </c>
      <c r="C82" s="38">
        <v>7</v>
      </c>
      <c r="D82" s="38">
        <v>7</v>
      </c>
      <c r="E82" s="38">
        <v>7</v>
      </c>
      <c r="F82" s="38">
        <v>7</v>
      </c>
      <c r="G82" s="38">
        <v>7</v>
      </c>
      <c r="H82" s="38">
        <v>7</v>
      </c>
      <c r="I82" s="38">
        <v>7</v>
      </c>
      <c r="J82" s="38">
        <v>7</v>
      </c>
      <c r="K82" s="38">
        <v>7</v>
      </c>
      <c r="L82" s="38">
        <v>7</v>
      </c>
      <c r="M82" s="38">
        <v>7</v>
      </c>
      <c r="N82" s="56">
        <f t="shared" si="8"/>
        <v>84</v>
      </c>
      <c r="O82" s="51">
        <f ca="1">INDEX($B82:$N82,,SelectedPeriodColumn)/INDEX($B$120:$N$120,,SelectedPeriodColumn)</f>
        <v>1.1666666666666667</v>
      </c>
    </row>
    <row r="83" spans="1:15" ht="19.5" customHeight="1" x14ac:dyDescent="0.15">
      <c r="A83" s="21"/>
      <c r="B83" s="18">
        <v>8</v>
      </c>
      <c r="C83" s="18">
        <v>8</v>
      </c>
      <c r="D83" s="18">
        <v>8</v>
      </c>
      <c r="E83" s="18">
        <v>8</v>
      </c>
      <c r="F83" s="18">
        <v>8</v>
      </c>
      <c r="G83" s="18">
        <v>8</v>
      </c>
      <c r="H83" s="18">
        <v>8</v>
      </c>
      <c r="I83" s="18">
        <v>8</v>
      </c>
      <c r="J83" s="18">
        <v>8</v>
      </c>
      <c r="K83" s="18">
        <v>8</v>
      </c>
      <c r="L83" s="18">
        <v>8</v>
      </c>
      <c r="M83" s="18">
        <v>8</v>
      </c>
      <c r="N83" s="56">
        <f t="shared" si="8"/>
        <v>96</v>
      </c>
      <c r="O83" s="51">
        <f ca="1">INDEX($B83:$N83,,SelectedPeriodColumn)/INDEX($B$120:$N$120,,SelectedPeriodColumn)</f>
        <v>1.3333333333333333</v>
      </c>
    </row>
    <row r="84" spans="1:15" ht="19.5" customHeight="1" x14ac:dyDescent="0.15">
      <c r="A84" s="21"/>
      <c r="B84" s="38">
        <v>9</v>
      </c>
      <c r="C84" s="38">
        <v>9</v>
      </c>
      <c r="D84" s="38">
        <v>9</v>
      </c>
      <c r="E84" s="38">
        <v>9</v>
      </c>
      <c r="F84" s="38">
        <v>9</v>
      </c>
      <c r="G84" s="38">
        <v>9</v>
      </c>
      <c r="H84" s="38">
        <v>9</v>
      </c>
      <c r="I84" s="38">
        <v>9</v>
      </c>
      <c r="J84" s="38">
        <v>9</v>
      </c>
      <c r="K84" s="38">
        <v>9</v>
      </c>
      <c r="L84" s="38">
        <v>9</v>
      </c>
      <c r="M84" s="38">
        <v>9</v>
      </c>
      <c r="N84" s="56">
        <f t="shared" si="8"/>
        <v>108</v>
      </c>
      <c r="O84" s="51">
        <f ca="1">INDEX($B84:$N84,,SelectedPeriodColumn)/INDEX($B$120:$N$120,,SelectedPeriodColumn)</f>
        <v>1.5</v>
      </c>
    </row>
    <row r="85" spans="1:15" ht="19.5" customHeight="1" x14ac:dyDescent="0.15">
      <c r="A85" s="21"/>
      <c r="B85" s="18">
        <v>10</v>
      </c>
      <c r="C85" s="18">
        <v>10</v>
      </c>
      <c r="D85" s="18">
        <v>10</v>
      </c>
      <c r="E85" s="18">
        <v>10</v>
      </c>
      <c r="F85" s="18">
        <v>10</v>
      </c>
      <c r="G85" s="18">
        <v>10</v>
      </c>
      <c r="H85" s="18">
        <v>10</v>
      </c>
      <c r="I85" s="18">
        <v>10</v>
      </c>
      <c r="J85" s="18">
        <v>10</v>
      </c>
      <c r="K85" s="18">
        <v>10</v>
      </c>
      <c r="L85" s="18">
        <v>10</v>
      </c>
      <c r="M85" s="18">
        <v>10</v>
      </c>
      <c r="N85" s="56">
        <f t="shared" si="8"/>
        <v>120</v>
      </c>
      <c r="O85" s="51">
        <f ca="1">INDEX($B85:$N85,,SelectedPeriodColumn)/INDEX($B$120:$N$120,,SelectedPeriodColumn)</f>
        <v>1.6666666666666667</v>
      </c>
    </row>
    <row r="86" spans="1:15" ht="19.5" customHeight="1" x14ac:dyDescent="0.15">
      <c r="A86" s="21"/>
      <c r="B86" s="38">
        <v>11</v>
      </c>
      <c r="C86" s="38">
        <v>11</v>
      </c>
      <c r="D86" s="38">
        <v>11</v>
      </c>
      <c r="E86" s="38">
        <v>11</v>
      </c>
      <c r="F86" s="38">
        <v>11</v>
      </c>
      <c r="G86" s="38">
        <v>11</v>
      </c>
      <c r="H86" s="38">
        <v>11</v>
      </c>
      <c r="I86" s="38">
        <v>11</v>
      </c>
      <c r="J86" s="38">
        <v>11</v>
      </c>
      <c r="K86" s="38">
        <v>11</v>
      </c>
      <c r="L86" s="38">
        <v>11</v>
      </c>
      <c r="M86" s="38">
        <v>11</v>
      </c>
      <c r="N86" s="56">
        <f t="shared" si="8"/>
        <v>132</v>
      </c>
      <c r="O86" s="51">
        <f ca="1">INDEX($B86:$N86,,SelectedPeriodColumn)/INDEX($B$120:$N$120,,SelectedPeriodColumn)</f>
        <v>1.8333333333333333</v>
      </c>
    </row>
    <row r="87" spans="1:15" ht="19.5" customHeight="1" x14ac:dyDescent="0.15">
      <c r="A87" s="21"/>
      <c r="B87" s="18">
        <v>12</v>
      </c>
      <c r="C87" s="18">
        <v>12</v>
      </c>
      <c r="D87" s="18">
        <v>12</v>
      </c>
      <c r="E87" s="18">
        <v>12</v>
      </c>
      <c r="F87" s="18">
        <v>12</v>
      </c>
      <c r="G87" s="18">
        <v>12</v>
      </c>
      <c r="H87" s="18">
        <v>12</v>
      </c>
      <c r="I87" s="18">
        <v>12</v>
      </c>
      <c r="J87" s="18">
        <v>12</v>
      </c>
      <c r="K87" s="18">
        <v>12</v>
      </c>
      <c r="L87" s="18">
        <v>12</v>
      </c>
      <c r="M87" s="18">
        <v>12</v>
      </c>
      <c r="N87" s="56">
        <f t="shared" si="8"/>
        <v>144</v>
      </c>
      <c r="O87" s="51">
        <f ca="1">INDEX($B87:$N87,,SelectedPeriodColumn)/INDEX($B$120:$N$120,,SelectedPeriodColumn)</f>
        <v>2</v>
      </c>
    </row>
    <row r="88" spans="1:15" ht="19.5" customHeight="1" x14ac:dyDescent="0.15">
      <c r="A88" s="21"/>
      <c r="B88" s="38">
        <v>13</v>
      </c>
      <c r="C88" s="38">
        <v>13</v>
      </c>
      <c r="D88" s="38">
        <v>13</v>
      </c>
      <c r="E88" s="38">
        <v>13</v>
      </c>
      <c r="F88" s="38">
        <v>13</v>
      </c>
      <c r="G88" s="38">
        <v>13</v>
      </c>
      <c r="H88" s="38">
        <v>13</v>
      </c>
      <c r="I88" s="38">
        <v>13</v>
      </c>
      <c r="J88" s="38">
        <v>13</v>
      </c>
      <c r="K88" s="38">
        <v>13</v>
      </c>
      <c r="L88" s="38">
        <v>13</v>
      </c>
      <c r="M88" s="38">
        <v>13</v>
      </c>
      <c r="N88" s="56">
        <f t="shared" si="8"/>
        <v>156</v>
      </c>
      <c r="O88" s="51">
        <f ca="1">INDEX($B88:$N88,,SelectedPeriodColumn)/INDEX($B$120:$N$120,,SelectedPeriodColumn)</f>
        <v>2.1666666666666665</v>
      </c>
    </row>
    <row r="89" spans="1:15" ht="19.5" customHeight="1" x14ac:dyDescent="0.15">
      <c r="A89" s="21"/>
      <c r="B89" s="18">
        <v>14</v>
      </c>
      <c r="C89" s="18">
        <v>14</v>
      </c>
      <c r="D89" s="18">
        <v>14</v>
      </c>
      <c r="E89" s="18">
        <v>14</v>
      </c>
      <c r="F89" s="18">
        <v>14</v>
      </c>
      <c r="G89" s="18">
        <v>14</v>
      </c>
      <c r="H89" s="18">
        <v>14</v>
      </c>
      <c r="I89" s="18">
        <v>14</v>
      </c>
      <c r="J89" s="18">
        <v>14</v>
      </c>
      <c r="K89" s="18">
        <v>14</v>
      </c>
      <c r="L89" s="18">
        <v>14</v>
      </c>
      <c r="M89" s="18">
        <v>14</v>
      </c>
      <c r="N89" s="56">
        <f t="shared" si="8"/>
        <v>168</v>
      </c>
      <c r="O89" s="51">
        <f ca="1">INDEX($B89:$N89,,SelectedPeriodColumn)/INDEX($B$120:$N$120,,SelectedPeriodColumn)</f>
        <v>2.3333333333333335</v>
      </c>
    </row>
    <row r="90" spans="1:15" ht="19.5" customHeight="1" x14ac:dyDescent="0.15">
      <c r="A90" s="21"/>
      <c r="B90" s="38">
        <v>15</v>
      </c>
      <c r="C90" s="38">
        <v>15</v>
      </c>
      <c r="D90" s="38">
        <v>15</v>
      </c>
      <c r="E90" s="38">
        <v>15</v>
      </c>
      <c r="F90" s="38">
        <v>15</v>
      </c>
      <c r="G90" s="38">
        <v>15</v>
      </c>
      <c r="H90" s="38">
        <v>15</v>
      </c>
      <c r="I90" s="38">
        <v>15</v>
      </c>
      <c r="J90" s="38">
        <v>15</v>
      </c>
      <c r="K90" s="38">
        <v>15</v>
      </c>
      <c r="L90" s="38">
        <v>15</v>
      </c>
      <c r="M90" s="38">
        <v>15</v>
      </c>
      <c r="N90" s="56">
        <f t="shared" si="8"/>
        <v>180</v>
      </c>
      <c r="O90" s="51">
        <f ca="1">INDEX($B90:$N90,,SelectedPeriodColumn)/INDEX($B$120:$N$120,,SelectedPeriodColumn)</f>
        <v>2.5</v>
      </c>
    </row>
    <row r="91" spans="1:15" ht="19.5" customHeight="1" x14ac:dyDescent="0.15">
      <c r="A91" s="21"/>
      <c r="B91" s="18">
        <v>16</v>
      </c>
      <c r="C91" s="18">
        <v>16</v>
      </c>
      <c r="D91" s="18">
        <v>16</v>
      </c>
      <c r="E91" s="18">
        <v>16</v>
      </c>
      <c r="F91" s="18">
        <v>16</v>
      </c>
      <c r="G91" s="18">
        <v>16</v>
      </c>
      <c r="H91" s="18">
        <v>16</v>
      </c>
      <c r="I91" s="18">
        <v>16</v>
      </c>
      <c r="J91" s="18">
        <v>16</v>
      </c>
      <c r="K91" s="18">
        <v>16</v>
      </c>
      <c r="L91" s="18">
        <v>16</v>
      </c>
      <c r="M91" s="18">
        <v>16</v>
      </c>
      <c r="N91" s="56">
        <f t="shared" si="8"/>
        <v>192</v>
      </c>
      <c r="O91" s="51">
        <f ca="1">INDEX($B91:$N91,,SelectedPeriodColumn)/INDEX($B$120:$N$120,,SelectedPeriodColumn)</f>
        <v>2.6666666666666665</v>
      </c>
    </row>
    <row r="92" spans="1:15" ht="19.5" customHeight="1" x14ac:dyDescent="0.15">
      <c r="A92" s="21"/>
      <c r="B92" s="38">
        <v>17</v>
      </c>
      <c r="C92" s="38">
        <v>17</v>
      </c>
      <c r="D92" s="38">
        <v>17</v>
      </c>
      <c r="E92" s="38">
        <v>17</v>
      </c>
      <c r="F92" s="38">
        <v>17</v>
      </c>
      <c r="G92" s="38">
        <v>17</v>
      </c>
      <c r="H92" s="38">
        <v>17</v>
      </c>
      <c r="I92" s="38">
        <v>17</v>
      </c>
      <c r="J92" s="38">
        <v>17</v>
      </c>
      <c r="K92" s="38">
        <v>17</v>
      </c>
      <c r="L92" s="38">
        <v>17</v>
      </c>
      <c r="M92" s="38">
        <v>17</v>
      </c>
      <c r="N92" s="56">
        <f t="shared" si="8"/>
        <v>204</v>
      </c>
      <c r="O92" s="51">
        <f ca="1">INDEX($B92:$N92,,SelectedPeriodColumn)/INDEX($B$120:$N$120,,SelectedPeriodColumn)</f>
        <v>2.8333333333333335</v>
      </c>
    </row>
    <row r="93" spans="1:15" ht="19.5" customHeight="1" x14ac:dyDescent="0.15">
      <c r="A93" s="21"/>
      <c r="B93" s="18">
        <v>18</v>
      </c>
      <c r="C93" s="18">
        <v>18</v>
      </c>
      <c r="D93" s="18">
        <v>18</v>
      </c>
      <c r="E93" s="18">
        <v>18</v>
      </c>
      <c r="F93" s="18">
        <v>18</v>
      </c>
      <c r="G93" s="18">
        <v>18</v>
      </c>
      <c r="H93" s="18">
        <v>18</v>
      </c>
      <c r="I93" s="18">
        <v>18</v>
      </c>
      <c r="J93" s="18">
        <v>18</v>
      </c>
      <c r="K93" s="18">
        <v>18</v>
      </c>
      <c r="L93" s="18">
        <v>18</v>
      </c>
      <c r="M93" s="18">
        <v>18</v>
      </c>
      <c r="N93" s="56">
        <f t="shared" si="8"/>
        <v>216</v>
      </c>
      <c r="O93" s="51">
        <f ca="1">INDEX($B93:$N93,,SelectedPeriodColumn)/INDEX($B$120:$N$120,,SelectedPeriodColumn)</f>
        <v>3</v>
      </c>
    </row>
    <row r="94" spans="1:15" ht="19.5" customHeight="1" x14ac:dyDescent="0.15">
      <c r="A94" s="21"/>
      <c r="B94" s="38">
        <v>19</v>
      </c>
      <c r="C94" s="38">
        <v>19</v>
      </c>
      <c r="D94" s="38">
        <v>19</v>
      </c>
      <c r="E94" s="38">
        <v>19</v>
      </c>
      <c r="F94" s="38">
        <v>19</v>
      </c>
      <c r="G94" s="38">
        <v>19</v>
      </c>
      <c r="H94" s="38">
        <v>19</v>
      </c>
      <c r="I94" s="38">
        <v>19</v>
      </c>
      <c r="J94" s="38">
        <v>19</v>
      </c>
      <c r="K94" s="38">
        <v>19</v>
      </c>
      <c r="L94" s="38">
        <v>19</v>
      </c>
      <c r="M94" s="38">
        <v>19</v>
      </c>
      <c r="N94" s="56">
        <f t="shared" si="8"/>
        <v>228</v>
      </c>
      <c r="O94" s="51">
        <f ca="1">INDEX($B94:$N94,,SelectedPeriodColumn)/INDEX($B$120:$N$120,,SelectedPeriodColumn)</f>
        <v>3.1666666666666665</v>
      </c>
    </row>
    <row r="95" spans="1:15" ht="19.5" customHeight="1" x14ac:dyDescent="0.15">
      <c r="A95" s="21"/>
      <c r="B95" s="18">
        <v>20</v>
      </c>
      <c r="C95" s="18">
        <v>20</v>
      </c>
      <c r="D95" s="18">
        <v>20</v>
      </c>
      <c r="E95" s="18">
        <v>20</v>
      </c>
      <c r="F95" s="18">
        <v>20</v>
      </c>
      <c r="G95" s="18">
        <v>20</v>
      </c>
      <c r="H95" s="18">
        <v>20</v>
      </c>
      <c r="I95" s="18">
        <v>20</v>
      </c>
      <c r="J95" s="18">
        <v>20</v>
      </c>
      <c r="K95" s="18">
        <v>20</v>
      </c>
      <c r="L95" s="18">
        <v>20</v>
      </c>
      <c r="M95" s="18">
        <v>20</v>
      </c>
      <c r="N95" s="56">
        <f t="shared" si="8"/>
        <v>240</v>
      </c>
      <c r="O95" s="51">
        <f ca="1">INDEX($B95:$N95,,SelectedPeriodColumn)/INDEX($B$120:$N$120,,SelectedPeriodColumn)</f>
        <v>3.3333333333333335</v>
      </c>
    </row>
    <row r="96" spans="1:15" ht="19.5" customHeight="1" x14ac:dyDescent="0.15">
      <c r="A96" s="21"/>
      <c r="B96" s="38">
        <v>21</v>
      </c>
      <c r="C96" s="38">
        <v>21</v>
      </c>
      <c r="D96" s="38">
        <v>21</v>
      </c>
      <c r="E96" s="38">
        <v>21</v>
      </c>
      <c r="F96" s="38">
        <v>21</v>
      </c>
      <c r="G96" s="38">
        <v>21</v>
      </c>
      <c r="H96" s="38">
        <v>21</v>
      </c>
      <c r="I96" s="38">
        <v>21</v>
      </c>
      <c r="J96" s="38">
        <v>21</v>
      </c>
      <c r="K96" s="38">
        <v>21</v>
      </c>
      <c r="L96" s="38">
        <v>21</v>
      </c>
      <c r="M96" s="38">
        <v>21</v>
      </c>
      <c r="N96" s="56">
        <f t="shared" si="8"/>
        <v>252</v>
      </c>
      <c r="O96" s="51">
        <f ca="1">INDEX($B96:$N96,,SelectedPeriodColumn)/INDEX($B$120:$N$120,,SelectedPeriodColumn)</f>
        <v>3.5</v>
      </c>
    </row>
    <row r="97" spans="1:15" ht="19.5" customHeight="1" x14ac:dyDescent="0.15">
      <c r="A97" s="21"/>
      <c r="B97" s="18">
        <v>22</v>
      </c>
      <c r="C97" s="18">
        <v>22</v>
      </c>
      <c r="D97" s="18">
        <v>22</v>
      </c>
      <c r="E97" s="18">
        <v>22</v>
      </c>
      <c r="F97" s="18">
        <v>22</v>
      </c>
      <c r="G97" s="18">
        <v>22</v>
      </c>
      <c r="H97" s="18">
        <v>22</v>
      </c>
      <c r="I97" s="18">
        <v>22</v>
      </c>
      <c r="J97" s="18">
        <v>22</v>
      </c>
      <c r="K97" s="18">
        <v>22</v>
      </c>
      <c r="L97" s="18">
        <v>22</v>
      </c>
      <c r="M97" s="18">
        <v>22</v>
      </c>
      <c r="N97" s="56">
        <f t="shared" si="8"/>
        <v>264</v>
      </c>
      <c r="O97" s="51">
        <f ca="1">INDEX($B97:$N97,,SelectedPeriodColumn)/INDEX($B$120:$N$120,,SelectedPeriodColumn)</f>
        <v>3.6666666666666665</v>
      </c>
    </row>
    <row r="98" spans="1:15" ht="19.5" customHeight="1" x14ac:dyDescent="0.15">
      <c r="A98" s="21"/>
      <c r="B98" s="38">
        <v>23</v>
      </c>
      <c r="C98" s="38">
        <v>23</v>
      </c>
      <c r="D98" s="38">
        <v>23</v>
      </c>
      <c r="E98" s="38">
        <v>23</v>
      </c>
      <c r="F98" s="38">
        <v>23</v>
      </c>
      <c r="G98" s="38">
        <v>23</v>
      </c>
      <c r="H98" s="38">
        <v>23</v>
      </c>
      <c r="I98" s="38">
        <v>23</v>
      </c>
      <c r="J98" s="38">
        <v>23</v>
      </c>
      <c r="K98" s="38">
        <v>23</v>
      </c>
      <c r="L98" s="38">
        <v>23</v>
      </c>
      <c r="M98" s="38">
        <v>23</v>
      </c>
      <c r="N98" s="56">
        <f t="shared" si="8"/>
        <v>276</v>
      </c>
      <c r="O98" s="51">
        <f ca="1">INDEX($B98:$N98,,SelectedPeriodColumn)/INDEX($B$120:$N$120,,SelectedPeriodColumn)</f>
        <v>3.8333333333333335</v>
      </c>
    </row>
    <row r="99" spans="1:15" ht="19.5" customHeight="1" x14ac:dyDescent="0.15">
      <c r="A99" s="21"/>
      <c r="B99" s="18">
        <v>24</v>
      </c>
      <c r="C99" s="18">
        <v>24</v>
      </c>
      <c r="D99" s="18">
        <v>24</v>
      </c>
      <c r="E99" s="18">
        <v>24</v>
      </c>
      <c r="F99" s="18">
        <v>24</v>
      </c>
      <c r="G99" s="18">
        <v>24</v>
      </c>
      <c r="H99" s="18">
        <v>24</v>
      </c>
      <c r="I99" s="18">
        <v>24</v>
      </c>
      <c r="J99" s="18">
        <v>24</v>
      </c>
      <c r="K99" s="18">
        <v>24</v>
      </c>
      <c r="L99" s="18">
        <v>24</v>
      </c>
      <c r="M99" s="18">
        <v>24</v>
      </c>
      <c r="N99" s="56">
        <f t="shared" si="8"/>
        <v>288</v>
      </c>
      <c r="O99" s="51">
        <f ca="1">INDEX($B99:$N99,,SelectedPeriodColumn)/INDEX($B$120:$N$120,,SelectedPeriodColumn)</f>
        <v>4</v>
      </c>
    </row>
    <row r="100" spans="1:15" ht="19.5" customHeight="1" x14ac:dyDescent="0.15">
      <c r="A100" s="21"/>
      <c r="B100" s="38">
        <v>25</v>
      </c>
      <c r="C100" s="38">
        <v>25</v>
      </c>
      <c r="D100" s="38">
        <v>25</v>
      </c>
      <c r="E100" s="38">
        <v>25</v>
      </c>
      <c r="F100" s="38">
        <v>25</v>
      </c>
      <c r="G100" s="38">
        <v>25</v>
      </c>
      <c r="H100" s="38">
        <v>25</v>
      </c>
      <c r="I100" s="38">
        <v>25</v>
      </c>
      <c r="J100" s="38">
        <v>25</v>
      </c>
      <c r="K100" s="38">
        <v>25</v>
      </c>
      <c r="L100" s="38">
        <v>25</v>
      </c>
      <c r="M100" s="38">
        <v>25</v>
      </c>
      <c r="N100" s="56">
        <f t="shared" si="8"/>
        <v>300</v>
      </c>
      <c r="O100" s="51">
        <f ca="1">INDEX($B100:$N100,,SelectedPeriodColumn)/INDEX($B$120:$N$120,,SelectedPeriodColumn)</f>
        <v>4.166666666666667</v>
      </c>
    </row>
    <row r="101" spans="1:15" ht="19.5" customHeight="1" x14ac:dyDescent="0.15">
      <c r="A101" s="21"/>
      <c r="B101" s="18">
        <v>26</v>
      </c>
      <c r="C101" s="18">
        <v>26</v>
      </c>
      <c r="D101" s="18">
        <v>26</v>
      </c>
      <c r="E101" s="18">
        <v>26</v>
      </c>
      <c r="F101" s="18">
        <v>26</v>
      </c>
      <c r="G101" s="18">
        <v>26</v>
      </c>
      <c r="H101" s="18">
        <v>26</v>
      </c>
      <c r="I101" s="18">
        <v>26</v>
      </c>
      <c r="J101" s="18">
        <v>26</v>
      </c>
      <c r="K101" s="18">
        <v>26</v>
      </c>
      <c r="L101" s="18">
        <v>26</v>
      </c>
      <c r="M101" s="18">
        <v>26</v>
      </c>
      <c r="N101" s="56">
        <f t="shared" si="8"/>
        <v>312</v>
      </c>
      <c r="O101" s="51">
        <f ca="1">INDEX($B101:$N101,,SelectedPeriodColumn)/INDEX($B$120:$N$120,,SelectedPeriodColumn)</f>
        <v>4.333333333333333</v>
      </c>
    </row>
    <row r="102" spans="1:15" ht="19.5" customHeight="1" x14ac:dyDescent="0.15">
      <c r="A102" s="21"/>
      <c r="B102" s="38">
        <v>27</v>
      </c>
      <c r="C102" s="38">
        <v>27</v>
      </c>
      <c r="D102" s="38">
        <v>27</v>
      </c>
      <c r="E102" s="38">
        <v>27</v>
      </c>
      <c r="F102" s="38">
        <v>27</v>
      </c>
      <c r="G102" s="38">
        <v>27</v>
      </c>
      <c r="H102" s="38">
        <v>27</v>
      </c>
      <c r="I102" s="38">
        <v>27</v>
      </c>
      <c r="J102" s="38">
        <v>27</v>
      </c>
      <c r="K102" s="38">
        <v>27</v>
      </c>
      <c r="L102" s="38">
        <v>27</v>
      </c>
      <c r="M102" s="38">
        <v>27</v>
      </c>
      <c r="N102" s="56">
        <f t="shared" si="8"/>
        <v>324</v>
      </c>
      <c r="O102" s="51">
        <f ca="1">INDEX($B102:$N102,,SelectedPeriodColumn)/INDEX($B$120:$N$120,,SelectedPeriodColumn)</f>
        <v>4.5</v>
      </c>
    </row>
    <row r="103" spans="1:15" ht="19.5" customHeight="1" x14ac:dyDescent="0.15">
      <c r="A103" s="21"/>
      <c r="B103" s="18">
        <v>28</v>
      </c>
      <c r="C103" s="18">
        <v>28</v>
      </c>
      <c r="D103" s="18">
        <v>28</v>
      </c>
      <c r="E103" s="18">
        <v>28</v>
      </c>
      <c r="F103" s="18">
        <v>28</v>
      </c>
      <c r="G103" s="18">
        <v>28</v>
      </c>
      <c r="H103" s="18">
        <v>28</v>
      </c>
      <c r="I103" s="18">
        <v>28</v>
      </c>
      <c r="J103" s="18">
        <v>28</v>
      </c>
      <c r="K103" s="18">
        <v>28</v>
      </c>
      <c r="L103" s="18">
        <v>28</v>
      </c>
      <c r="M103" s="18">
        <v>28</v>
      </c>
      <c r="N103" s="56">
        <f t="shared" si="8"/>
        <v>336</v>
      </c>
      <c r="O103" s="51">
        <f ca="1">INDEX($B103:$N103,,SelectedPeriodColumn)/INDEX($B$120:$N$120,,SelectedPeriodColumn)</f>
        <v>4.666666666666667</v>
      </c>
    </row>
    <row r="104" spans="1:15" ht="19.5" customHeight="1" x14ac:dyDescent="0.15">
      <c r="A104" s="21"/>
      <c r="B104" s="38">
        <v>29</v>
      </c>
      <c r="C104" s="38">
        <v>29</v>
      </c>
      <c r="D104" s="38">
        <v>29</v>
      </c>
      <c r="E104" s="38">
        <v>29</v>
      </c>
      <c r="F104" s="38">
        <v>29</v>
      </c>
      <c r="G104" s="38">
        <v>29</v>
      </c>
      <c r="H104" s="38">
        <v>29</v>
      </c>
      <c r="I104" s="38">
        <v>29</v>
      </c>
      <c r="J104" s="38">
        <v>29</v>
      </c>
      <c r="K104" s="38">
        <v>29</v>
      </c>
      <c r="L104" s="38">
        <v>29</v>
      </c>
      <c r="M104" s="38">
        <v>29</v>
      </c>
      <c r="N104" s="56">
        <f t="shared" si="8"/>
        <v>348</v>
      </c>
      <c r="O104" s="51">
        <f ca="1">INDEX($B104:$N104,,SelectedPeriodColumn)/INDEX($B$120:$N$120,,SelectedPeriodColumn)</f>
        <v>4.833333333333333</v>
      </c>
    </row>
    <row r="105" spans="1:15" ht="19.5" customHeight="1" x14ac:dyDescent="0.15">
      <c r="A105" s="21"/>
      <c r="B105" s="18">
        <v>30</v>
      </c>
      <c r="C105" s="18">
        <v>30</v>
      </c>
      <c r="D105" s="18">
        <v>30</v>
      </c>
      <c r="E105" s="18">
        <v>30</v>
      </c>
      <c r="F105" s="18">
        <v>30</v>
      </c>
      <c r="G105" s="18">
        <v>30</v>
      </c>
      <c r="H105" s="18">
        <v>30</v>
      </c>
      <c r="I105" s="18">
        <v>30</v>
      </c>
      <c r="J105" s="18">
        <v>30</v>
      </c>
      <c r="K105" s="18">
        <v>30</v>
      </c>
      <c r="L105" s="18">
        <v>30</v>
      </c>
      <c r="M105" s="18">
        <v>30</v>
      </c>
      <c r="N105" s="56">
        <f t="shared" si="8"/>
        <v>360</v>
      </c>
      <c r="O105" s="51">
        <f ca="1">INDEX($B105:$N105,,SelectedPeriodColumn)/INDEX($B$120:$N$120,,SelectedPeriodColumn)</f>
        <v>5</v>
      </c>
    </row>
    <row r="106" spans="1:15" ht="19.5" customHeight="1" x14ac:dyDescent="0.15">
      <c r="A106" s="21"/>
      <c r="B106" s="38">
        <v>31</v>
      </c>
      <c r="C106" s="38">
        <v>31</v>
      </c>
      <c r="D106" s="38">
        <v>31</v>
      </c>
      <c r="E106" s="38">
        <v>31</v>
      </c>
      <c r="F106" s="38">
        <v>31</v>
      </c>
      <c r="G106" s="38">
        <v>31</v>
      </c>
      <c r="H106" s="38">
        <v>31</v>
      </c>
      <c r="I106" s="38">
        <v>31</v>
      </c>
      <c r="J106" s="38">
        <v>31</v>
      </c>
      <c r="K106" s="38">
        <v>31</v>
      </c>
      <c r="L106" s="38">
        <v>31</v>
      </c>
      <c r="M106" s="38">
        <v>31</v>
      </c>
      <c r="N106" s="56">
        <f t="shared" si="8"/>
        <v>372</v>
      </c>
      <c r="O106" s="51">
        <f ca="1">INDEX($B106:$N106,,SelectedPeriodColumn)/INDEX($B$120:$N$120,,SelectedPeriodColumn)</f>
        <v>5.166666666666667</v>
      </c>
    </row>
    <row r="107" spans="1:15" ht="19.5" customHeight="1" x14ac:dyDescent="0.15">
      <c r="A107" s="21"/>
      <c r="B107" s="18">
        <v>32</v>
      </c>
      <c r="C107" s="18">
        <v>32</v>
      </c>
      <c r="D107" s="18">
        <v>32</v>
      </c>
      <c r="E107" s="18">
        <v>32</v>
      </c>
      <c r="F107" s="18">
        <v>32</v>
      </c>
      <c r="G107" s="18">
        <v>32</v>
      </c>
      <c r="H107" s="18">
        <v>32</v>
      </c>
      <c r="I107" s="18">
        <v>32</v>
      </c>
      <c r="J107" s="18">
        <v>32</v>
      </c>
      <c r="K107" s="18">
        <v>32</v>
      </c>
      <c r="L107" s="18">
        <v>32</v>
      </c>
      <c r="M107" s="18">
        <v>32</v>
      </c>
      <c r="N107" s="56">
        <f t="shared" si="8"/>
        <v>384</v>
      </c>
      <c r="O107" s="51">
        <f ca="1">INDEX($B107:$N107,,SelectedPeriodColumn)/INDEX($B$120:$N$120,,SelectedPeriodColumn)</f>
        <v>5.333333333333333</v>
      </c>
    </row>
    <row r="108" spans="1:15" ht="19.5" customHeight="1" x14ac:dyDescent="0.15">
      <c r="A108" s="21"/>
      <c r="B108" s="38">
        <v>33</v>
      </c>
      <c r="C108" s="38">
        <v>33</v>
      </c>
      <c r="D108" s="38">
        <v>33</v>
      </c>
      <c r="E108" s="38">
        <v>33</v>
      </c>
      <c r="F108" s="38">
        <v>33</v>
      </c>
      <c r="G108" s="38">
        <v>33</v>
      </c>
      <c r="H108" s="38">
        <v>33</v>
      </c>
      <c r="I108" s="38">
        <v>33</v>
      </c>
      <c r="J108" s="38">
        <v>33</v>
      </c>
      <c r="K108" s="38">
        <v>33</v>
      </c>
      <c r="L108" s="38">
        <v>33</v>
      </c>
      <c r="M108" s="38">
        <v>33</v>
      </c>
      <c r="N108" s="56">
        <f t="shared" si="8"/>
        <v>396</v>
      </c>
      <c r="O108" s="51">
        <f ca="1">INDEX($B108:$N108,,SelectedPeriodColumn)/INDEX($B$120:$N$120,,SelectedPeriodColumn)</f>
        <v>5.5</v>
      </c>
    </row>
    <row r="109" spans="1:15" ht="19.5" customHeight="1" x14ac:dyDescent="0.15">
      <c r="A109" s="21"/>
      <c r="B109" s="18">
        <v>34</v>
      </c>
      <c r="C109" s="18">
        <v>34</v>
      </c>
      <c r="D109" s="18">
        <v>34</v>
      </c>
      <c r="E109" s="18">
        <v>34</v>
      </c>
      <c r="F109" s="18">
        <v>34</v>
      </c>
      <c r="G109" s="18">
        <v>34</v>
      </c>
      <c r="H109" s="18">
        <v>34</v>
      </c>
      <c r="I109" s="18">
        <v>34</v>
      </c>
      <c r="J109" s="18">
        <v>34</v>
      </c>
      <c r="K109" s="18">
        <v>34</v>
      </c>
      <c r="L109" s="18">
        <v>34</v>
      </c>
      <c r="M109" s="18">
        <v>34</v>
      </c>
      <c r="N109" s="56">
        <f t="shared" si="8"/>
        <v>408</v>
      </c>
      <c r="O109" s="51">
        <f ca="1">INDEX($B109:$N109,,SelectedPeriodColumn)/INDEX($B$120:$N$120,,SelectedPeriodColumn)</f>
        <v>5.666666666666667</v>
      </c>
    </row>
    <row r="110" spans="1:15" ht="19.5" customHeight="1" x14ac:dyDescent="0.15">
      <c r="A110" s="21"/>
      <c r="B110" s="38">
        <v>35</v>
      </c>
      <c r="C110" s="38">
        <v>35</v>
      </c>
      <c r="D110" s="38">
        <v>35</v>
      </c>
      <c r="E110" s="38">
        <v>35</v>
      </c>
      <c r="F110" s="38">
        <v>35</v>
      </c>
      <c r="G110" s="38">
        <v>35</v>
      </c>
      <c r="H110" s="38">
        <v>35</v>
      </c>
      <c r="I110" s="38">
        <v>35</v>
      </c>
      <c r="J110" s="38">
        <v>35</v>
      </c>
      <c r="K110" s="38">
        <v>35</v>
      </c>
      <c r="L110" s="38">
        <v>35</v>
      </c>
      <c r="M110" s="38">
        <v>35</v>
      </c>
      <c r="N110" s="56">
        <f t="shared" si="8"/>
        <v>420</v>
      </c>
      <c r="O110" s="51">
        <f ca="1">INDEX($B110:$N110,,SelectedPeriodColumn)/INDEX($B$120:$N$120,,SelectedPeriodColumn)</f>
        <v>5.833333333333333</v>
      </c>
    </row>
    <row r="111" spans="1:15" ht="19.5" customHeight="1" x14ac:dyDescent="0.15">
      <c r="A111" s="21"/>
      <c r="B111" s="18">
        <v>36</v>
      </c>
      <c r="C111" s="18">
        <v>36</v>
      </c>
      <c r="D111" s="18">
        <v>36</v>
      </c>
      <c r="E111" s="18">
        <v>36</v>
      </c>
      <c r="F111" s="18">
        <v>36</v>
      </c>
      <c r="G111" s="18">
        <v>36</v>
      </c>
      <c r="H111" s="18">
        <v>36</v>
      </c>
      <c r="I111" s="18">
        <v>36</v>
      </c>
      <c r="J111" s="18">
        <v>36</v>
      </c>
      <c r="K111" s="18">
        <v>36</v>
      </c>
      <c r="L111" s="18">
        <v>36</v>
      </c>
      <c r="M111" s="18">
        <v>36</v>
      </c>
      <c r="N111" s="56">
        <f t="shared" si="8"/>
        <v>432</v>
      </c>
      <c r="O111" s="51">
        <f ca="1">INDEX($B111:$N111,,SelectedPeriodColumn)/INDEX($B$120:$N$120,,SelectedPeriodColumn)</f>
        <v>6</v>
      </c>
    </row>
    <row r="112" spans="1:15" ht="19.5" customHeight="1" x14ac:dyDescent="0.15">
      <c r="A112" s="21"/>
      <c r="B112" s="38">
        <v>37</v>
      </c>
      <c r="C112" s="38">
        <v>37</v>
      </c>
      <c r="D112" s="38">
        <v>37</v>
      </c>
      <c r="E112" s="38">
        <v>37</v>
      </c>
      <c r="F112" s="38">
        <v>37</v>
      </c>
      <c r="G112" s="38">
        <v>37</v>
      </c>
      <c r="H112" s="38">
        <v>37</v>
      </c>
      <c r="I112" s="38">
        <v>37</v>
      </c>
      <c r="J112" s="38">
        <v>37</v>
      </c>
      <c r="K112" s="38">
        <v>37</v>
      </c>
      <c r="L112" s="38">
        <v>37</v>
      </c>
      <c r="M112" s="38">
        <v>37</v>
      </c>
      <c r="N112" s="56">
        <f t="shared" si="8"/>
        <v>444</v>
      </c>
      <c r="O112" s="51">
        <f ca="1">INDEX($B112:$N112,,SelectedPeriodColumn)/INDEX($B$120:$N$120,,SelectedPeriodColumn)</f>
        <v>6.166666666666667</v>
      </c>
    </row>
    <row r="113" spans="1:15" ht="19.5" customHeight="1" x14ac:dyDescent="0.15">
      <c r="A113" s="21"/>
      <c r="B113" s="18">
        <v>38</v>
      </c>
      <c r="C113" s="18">
        <v>38</v>
      </c>
      <c r="D113" s="18">
        <v>38</v>
      </c>
      <c r="E113" s="18">
        <v>38</v>
      </c>
      <c r="F113" s="18">
        <v>38</v>
      </c>
      <c r="G113" s="18">
        <v>38</v>
      </c>
      <c r="H113" s="18">
        <v>38</v>
      </c>
      <c r="I113" s="18">
        <v>38</v>
      </c>
      <c r="J113" s="18">
        <v>38</v>
      </c>
      <c r="K113" s="18">
        <v>38</v>
      </c>
      <c r="L113" s="18">
        <v>38</v>
      </c>
      <c r="M113" s="18">
        <v>38</v>
      </c>
      <c r="N113" s="56">
        <f t="shared" si="8"/>
        <v>456</v>
      </c>
      <c r="O113" s="51">
        <f ca="1">INDEX($B113:$N113,,SelectedPeriodColumn)/INDEX($B$120:$N$120,,SelectedPeriodColumn)</f>
        <v>6.333333333333333</v>
      </c>
    </row>
    <row r="114" spans="1:15" ht="19.5" customHeight="1" x14ac:dyDescent="0.15">
      <c r="A114" s="21"/>
      <c r="B114" s="38">
        <v>39</v>
      </c>
      <c r="C114" s="38">
        <v>39</v>
      </c>
      <c r="D114" s="38">
        <v>39</v>
      </c>
      <c r="E114" s="38">
        <v>39</v>
      </c>
      <c r="F114" s="38">
        <v>39</v>
      </c>
      <c r="G114" s="38">
        <v>39</v>
      </c>
      <c r="H114" s="38">
        <v>39</v>
      </c>
      <c r="I114" s="38">
        <v>39</v>
      </c>
      <c r="J114" s="38">
        <v>39</v>
      </c>
      <c r="K114" s="38">
        <v>39</v>
      </c>
      <c r="L114" s="38">
        <v>39</v>
      </c>
      <c r="M114" s="38">
        <v>39</v>
      </c>
      <c r="N114" s="56">
        <f t="shared" si="8"/>
        <v>468</v>
      </c>
      <c r="O114" s="51">
        <f ca="1">INDEX($B114:$N114,,SelectedPeriodColumn)/INDEX($B$120:$N$120,,SelectedPeriodColumn)</f>
        <v>6.5</v>
      </c>
    </row>
    <row r="115" spans="1:15" ht="19.5" customHeight="1" x14ac:dyDescent="0.15">
      <c r="A115" s="21"/>
      <c r="B115" s="18">
        <v>40</v>
      </c>
      <c r="C115" s="18">
        <v>40</v>
      </c>
      <c r="D115" s="18">
        <v>40</v>
      </c>
      <c r="E115" s="18">
        <v>40</v>
      </c>
      <c r="F115" s="18">
        <v>40</v>
      </c>
      <c r="G115" s="18">
        <v>40</v>
      </c>
      <c r="H115" s="18">
        <v>40</v>
      </c>
      <c r="I115" s="18">
        <v>40</v>
      </c>
      <c r="J115" s="18">
        <v>40</v>
      </c>
      <c r="K115" s="18">
        <v>40</v>
      </c>
      <c r="L115" s="18">
        <v>40</v>
      </c>
      <c r="M115" s="18">
        <v>40</v>
      </c>
      <c r="N115" s="56">
        <f t="shared" si="8"/>
        <v>480</v>
      </c>
      <c r="O115" s="51">
        <f ca="1">INDEX($B115:$N115,,SelectedPeriodColumn)/INDEX($B$120:$N$120,,SelectedPeriodColumn)</f>
        <v>6.666666666666667</v>
      </c>
    </row>
    <row r="116" spans="1:15" ht="19.5" customHeight="1" x14ac:dyDescent="0.15">
      <c r="A116" s="21"/>
      <c r="B116" s="38">
        <v>41</v>
      </c>
      <c r="C116" s="38">
        <v>41</v>
      </c>
      <c r="D116" s="38">
        <v>41</v>
      </c>
      <c r="E116" s="38">
        <v>41</v>
      </c>
      <c r="F116" s="38">
        <v>41</v>
      </c>
      <c r="G116" s="38">
        <v>41</v>
      </c>
      <c r="H116" s="38">
        <v>41</v>
      </c>
      <c r="I116" s="38">
        <v>41</v>
      </c>
      <c r="J116" s="38">
        <v>41</v>
      </c>
      <c r="K116" s="38">
        <v>41</v>
      </c>
      <c r="L116" s="38">
        <v>41</v>
      </c>
      <c r="M116" s="38">
        <v>41</v>
      </c>
      <c r="N116" s="56">
        <f t="shared" si="8"/>
        <v>492</v>
      </c>
      <c r="O116" s="51">
        <f ca="1">INDEX($B116:$N116,,SelectedPeriodColumn)/INDEX($B$120:$N$120,,SelectedPeriodColumn)</f>
        <v>6.833333333333333</v>
      </c>
    </row>
    <row r="117" spans="1:15" ht="19.5" customHeight="1" x14ac:dyDescent="0.15">
      <c r="A117" s="21"/>
      <c r="B117" s="18">
        <v>42</v>
      </c>
      <c r="C117" s="18">
        <v>42</v>
      </c>
      <c r="D117" s="18">
        <v>42</v>
      </c>
      <c r="E117" s="18">
        <v>42</v>
      </c>
      <c r="F117" s="18">
        <v>42</v>
      </c>
      <c r="G117" s="18">
        <v>42</v>
      </c>
      <c r="H117" s="18">
        <v>42</v>
      </c>
      <c r="I117" s="18">
        <v>42</v>
      </c>
      <c r="J117" s="18">
        <v>42</v>
      </c>
      <c r="K117" s="18">
        <v>42</v>
      </c>
      <c r="L117" s="18">
        <v>42</v>
      </c>
      <c r="M117" s="18">
        <v>42</v>
      </c>
      <c r="N117" s="56">
        <f t="shared" si="8"/>
        <v>504</v>
      </c>
      <c r="O117" s="51">
        <f ca="1">INDEX($B117:$N117,,SelectedPeriodColumn)/INDEX($B$120:$N$120,,SelectedPeriodColumn)</f>
        <v>7</v>
      </c>
    </row>
    <row r="118" spans="1:15" ht="19.5" customHeight="1" x14ac:dyDescent="0.15">
      <c r="A118" s="21"/>
      <c r="B118" s="20"/>
      <c r="C118" s="20">
        <v>75</v>
      </c>
      <c r="D118" s="20">
        <v>75</v>
      </c>
      <c r="E118" s="20">
        <v>75</v>
      </c>
      <c r="F118" s="20">
        <v>75</v>
      </c>
      <c r="G118" s="20">
        <v>75</v>
      </c>
      <c r="H118" s="20">
        <v>75</v>
      </c>
      <c r="I118" s="20">
        <v>75</v>
      </c>
      <c r="J118" s="20">
        <v>75</v>
      </c>
      <c r="K118" s="20">
        <v>75</v>
      </c>
      <c r="L118" s="20">
        <v>75</v>
      </c>
      <c r="M118" s="20">
        <v>75</v>
      </c>
      <c r="N118" s="57">
        <f>SUM(B118:M118)</f>
        <v>825</v>
      </c>
      <c r="O118" s="53">
        <f ca="1">INDEX($B118:$N118,,SelectedPeriodColumn)/INDEX($B$120:$N$120,,SelectedPeriodColumn)</f>
        <v>12.5</v>
      </c>
    </row>
    <row r="119" spans="1:15" ht="19.5" customHeight="1" x14ac:dyDescent="0.1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</row>
    <row r="120" spans="1:15" ht="19.5" customHeight="1" x14ac:dyDescent="0.15">
      <c r="A120" s="68" t="s">
        <v>10</v>
      </c>
      <c r="B120" s="46" t="e">
        <f>SUM(B40,B45,B53,#REF!,B68,B76)</f>
        <v>#REF!</v>
      </c>
      <c r="C120" s="46">
        <f t="shared" ref="C120:M120" si="9">SUM(C40,C45,C53,C57,C68,C76)</f>
        <v>6</v>
      </c>
      <c r="D120" s="46">
        <f t="shared" si="9"/>
        <v>6</v>
      </c>
      <c r="E120" s="46">
        <f t="shared" si="9"/>
        <v>6</v>
      </c>
      <c r="F120" s="46">
        <f t="shared" si="9"/>
        <v>6</v>
      </c>
      <c r="G120" s="46">
        <f t="shared" si="9"/>
        <v>6</v>
      </c>
      <c r="H120" s="46">
        <f t="shared" si="9"/>
        <v>6</v>
      </c>
      <c r="I120" s="46">
        <f t="shared" si="9"/>
        <v>6</v>
      </c>
      <c r="J120" s="46">
        <f t="shared" si="9"/>
        <v>6</v>
      </c>
      <c r="K120" s="46">
        <f t="shared" si="9"/>
        <v>6</v>
      </c>
      <c r="L120" s="46">
        <f t="shared" si="9"/>
        <v>6</v>
      </c>
      <c r="M120" s="46">
        <f t="shared" si="9"/>
        <v>6</v>
      </c>
      <c r="N120" s="46" t="e">
        <f>SUM(B120:M120)</f>
        <v>#REF!</v>
      </c>
      <c r="O120" s="47">
        <f ca="1">INDEX($B120:$N120,,SelectedPeriodColumn)/INDEX($B$120:$N$120,,SelectedPeriodColumn)</f>
        <v>1</v>
      </c>
    </row>
  </sheetData>
  <sheetProtection insertColumns="0" insertRows="0" deleteColumns="0" deleteRows="0" autoFilter="0"/>
  <mergeCells count="3">
    <mergeCell ref="E13:E14"/>
    <mergeCell ref="E10:E11"/>
    <mergeCell ref="A8:A9"/>
  </mergeCells>
  <conditionalFormatting sqref="B28:O29">
    <cfRule type="expression" dxfId="0" priority="1">
      <formula>B28&lt;0</formula>
    </cfRule>
  </conditionalFormatting>
  <dataValidations count="6">
    <dataValidation type="list" errorStyle="warning" allowBlank="1" showInputMessage="1" showErrorMessage="1" error="Select Month from the list in this cell. Select CANCEL, then press ALT+DOWN ARROW for options, then DOWN ARROW and ENTER to make selection" sqref="A25" xr:uid="{00000000-0002-0000-0000-000000000000}">
      <formula1>"JAN,FEB,MAR,APR,MAY,JUN,JUL,AUG,SEP,OCT,NOV,DEC"</formula1>
    </dataValidation>
    <dataValidation allowBlank="1" showInputMessage="1" showErrorMessage="1" prompt="Donut chart showing income summary for selected month or year is in this cell." sqref="A6" xr:uid="{BD5841A6-BE3A-463F-92D1-74C4AB49BA03}"/>
    <dataValidation allowBlank="1" showInputMessage="1" showErrorMessage="1" prompt="Line chart showing cash flow for the selected month or year is in this cell." sqref="A16" xr:uid="{4CB710CB-0B3B-44CA-9704-0A81F73B4623}"/>
    <dataValidation allowBlank="1" showInputMessage="1" showErrorMessage="1" prompt="Slider is in this cell." sqref="A21" xr:uid="{ABAED70F-029D-4446-B0C4-10742229EC57}"/>
    <dataValidation allowBlank="1" showInputMessage="1" showErrorMessage="1" prompt="Donut chart showing expenses summary for selected month or year is in this cell." sqref="D6" xr:uid="{EC7F4217-DF1A-423E-B04C-348270B937B2}"/>
    <dataValidation allowBlank="1" showInputMessage="1" showErrorMessage="1" prompt="Bar chart showing positive and negative cash flow for selected month or year is in this cell." sqref="L6" xr:uid="{838F7224-82A7-4125-B63E-B70636CEFA57}"/>
  </dataValidations>
  <printOptions horizontalCentered="1"/>
  <pageMargins left="0.25" right="0.25" top="0.75" bottom="0.75" header="0.3" footer="0.3"/>
  <pageSetup scale="5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Monthly Scroll">
              <controlPr defaultSize="0" print="0" autoPict="0" altText="Select to cycle the budget summary by month">
                <anchor moveWithCells="1">
                  <from>
                    <xdr:col>0</xdr:col>
                    <xdr:colOff>1485900</xdr:colOff>
                    <xdr:row>20</xdr:row>
                    <xdr:rowOff>101600</xdr:rowOff>
                  </from>
                  <to>
                    <xdr:col>14</xdr:col>
                    <xdr:colOff>406400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xr2:uid="{87DED139-EB4B-46DD-95EB-2DF2F397473B}">
          <x14:colorSeries theme="6" tint="-0.499984740745262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theme="5" tint="-0.249977111117893"/>
          <x14:colorLow theme="5" tint="-0.249977111117893"/>
          <x14:sparklines>
            <x14:sparkline>
              <xm:f>'Monthly college budget'!B120:M120</xm:f>
              <xm:sqref>P120</xm:sqref>
            </x14:sparkline>
            <x14:sparkline>
              <xm:f>'Monthly college budget'!B40:M40</xm:f>
              <xm:sqref>P40</xm:sqref>
            </x14:sparkline>
            <x14:sparkline>
              <xm:f>'Monthly college budget'!B29:M29</xm:f>
              <xm:sqref>P29</xm:sqref>
            </x14:sparkline>
            <x14:sparkline>
              <xm:f>'Monthly college budget'!B68:M68</xm:f>
              <xm:sqref>P68</xm:sqref>
            </x14:sparkline>
            <x14:sparkline>
              <xm:f>'Monthly college budget'!B57:M57</xm:f>
              <xm:sqref>P57</xm:sqref>
            </x14:sparkline>
            <x14:sparkline>
              <xm:f>'Monthly college budget'!B58:M58</xm:f>
              <xm:sqref>P58</xm:sqref>
            </x14:sparkline>
            <x14:sparkline>
              <xm:f>'Monthly college budget'!B28:M28</xm:f>
              <xm:sqref>P28</xm:sqref>
            </x14:sparkline>
            <x14:sparkline>
              <xm:f>'Monthly college budget'!B53:M53</xm:f>
              <xm:sqref>P53</xm:sqref>
            </x14:sparkline>
            <x14:sparkline>
              <xm:f>'Monthly college budget'!B45:M45</xm:f>
              <xm:sqref>P45</xm:sqref>
            </x14:sparkline>
            <x14:sparkline>
              <xm:f>'Monthly college budget'!B37:M37</xm:f>
              <xm:sqref>P37</xm:sqref>
            </x14:sparkline>
            <x14:sparkline>
              <xm:f>'Monthly college budget'!B76:M76</xm:f>
              <xm:sqref>P76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4"/>
  <sheetViews>
    <sheetView showGridLines="0" zoomScaleNormal="100" workbookViewId="0"/>
  </sheetViews>
  <sheetFormatPr baseColWidth="10" defaultColWidth="9.19921875" defaultRowHeight="13" x14ac:dyDescent="0.15"/>
  <cols>
    <col min="3" max="3" width="46.3984375" customWidth="1"/>
  </cols>
  <sheetData>
    <row r="1" spans="1:16" x14ac:dyDescent="0.15">
      <c r="A1" t="s">
        <v>15</v>
      </c>
    </row>
    <row r="3" spans="1:16" x14ac:dyDescent="0.15">
      <c r="D3" t="str">
        <f ca="1">IFERROR(LOWER(TEXT(VALUE(SelectedPeriod&amp;" 1"),"mmmm")),"year")</f>
        <v>june</v>
      </c>
    </row>
    <row r="5" spans="1:16" x14ac:dyDescent="0.15">
      <c r="D5" s="1" t="s">
        <v>6</v>
      </c>
      <c r="E5" s="1"/>
      <c r="F5" s="1"/>
    </row>
    <row r="6" spans="1:16" x14ac:dyDescent="0.15">
      <c r="D6" t="str">
        <f ca="1">D3&amp;" income:"</f>
        <v>june income:</v>
      </c>
      <c r="F6" t="str">
        <f ca="1">TEXT(INDEX('Monthly college budget'!$B$37:$N$37,,SelectedPeriodColumn),"$#,###")</f>
        <v>$1,175</v>
      </c>
    </row>
    <row r="7" spans="1:16" x14ac:dyDescent="0.15">
      <c r="D7" t="str">
        <f ca="1">D3&amp;" expenses:"</f>
        <v>june expenses:</v>
      </c>
      <c r="F7" t="str">
        <f ca="1">TEXT(INDEX('Monthly college budget'!$B$120:$N$120,,SelectedPeriodColumn),"$#,###")</f>
        <v>$6</v>
      </c>
    </row>
    <row r="8" spans="1:16" x14ac:dyDescent="0.15">
      <c r="D8" t="str">
        <f ca="1">D3&amp;" cash flow:"</f>
        <v>june cash flow:</v>
      </c>
      <c r="E8" s="7">
        <f>INDEX('Monthly college budget'!B28:N28,ScrollBarValue)</f>
        <v>1169</v>
      </c>
      <c r="F8" t="str">
        <f>TEXT(E8,"$#,###")</f>
        <v>$1,169</v>
      </c>
    </row>
    <row r="12" spans="1:16" x14ac:dyDescent="0.15">
      <c r="D12" s="7" t="str">
        <f ca="1">LOWER('Monthly college budget'!B27)</f>
        <v xml:space="preserve">jan </v>
      </c>
      <c r="E12" s="7" t="str">
        <f ca="1">LOWER('Monthly college budget'!C27)</f>
        <v xml:space="preserve">feb </v>
      </c>
      <c r="F12" s="7" t="str">
        <f ca="1">LOWER('Monthly college budget'!D27)</f>
        <v xml:space="preserve">mar </v>
      </c>
      <c r="G12" s="7" t="str">
        <f ca="1">LOWER('Monthly college budget'!E27)</f>
        <v xml:space="preserve">apr </v>
      </c>
      <c r="H12" s="7" t="str">
        <f ca="1">LOWER('Monthly college budget'!F27)</f>
        <v xml:space="preserve">may </v>
      </c>
      <c r="I12" s="7" t="str">
        <f ca="1">LOWER('Monthly college budget'!G27)</f>
        <v xml:space="preserve">jun </v>
      </c>
      <c r="J12" s="7" t="str">
        <f ca="1">LOWER('Monthly college budget'!H27)</f>
        <v xml:space="preserve">jul </v>
      </c>
      <c r="K12" s="7" t="str">
        <f ca="1">LOWER('Monthly college budget'!I27)</f>
        <v xml:space="preserve">aug </v>
      </c>
      <c r="L12" s="7" t="str">
        <f ca="1">LOWER('Monthly college budget'!J27)</f>
        <v xml:space="preserve">sep </v>
      </c>
      <c r="M12" s="7" t="str">
        <f ca="1">LOWER('Monthly college budget'!K27)</f>
        <v xml:space="preserve">oct </v>
      </c>
      <c r="N12" s="7" t="str">
        <f ca="1">LOWER('Monthly college budget'!L27)</f>
        <v xml:space="preserve">nov </v>
      </c>
      <c r="O12" s="7" t="str">
        <f ca="1">LOWER('Monthly college budget'!M27)</f>
        <v xml:space="preserve">dec </v>
      </c>
      <c r="P12" s="7" t="str">
        <f>LOWER('Monthly college budget'!N27)</f>
        <v xml:space="preserve">year  </v>
      </c>
    </row>
    <row r="13" spans="1:16" x14ac:dyDescent="0.15">
      <c r="C13" s="2" t="s">
        <v>7</v>
      </c>
      <c r="D13" s="3">
        <v>6</v>
      </c>
    </row>
    <row r="14" spans="1:16" x14ac:dyDescent="0.15">
      <c r="C14" s="2" t="s">
        <v>8</v>
      </c>
      <c r="D14" s="7" t="e">
        <f ca="1">IF(SelectedPeriod='Monthly college budget'!B$31,IF('Monthly college budget'!$B$28:$N$28&gt;=0,'Monthly college budget'!$B$28:$N$28,NA()),NA())</f>
        <v>#N/A</v>
      </c>
      <c r="E14" s="7" t="e">
        <f ca="1">IF(SelectedPeriod='Monthly college budget'!C$31,IF('Monthly college budget'!$B$28:$N$28&gt;=0,'Monthly college budget'!$B$28:$N$28,NA()),NA())</f>
        <v>#N/A</v>
      </c>
      <c r="F14" s="7" t="e">
        <f ca="1">IF(SelectedPeriod='Monthly college budget'!D$31,IF('Monthly college budget'!$B$28:$N$28&gt;=0,'Monthly college budget'!$B$28:$N$28,NA()),NA())</f>
        <v>#N/A</v>
      </c>
      <c r="G14" s="7" t="e">
        <f ca="1">IF(SelectedPeriod='Monthly college budget'!E$31,IF('Monthly college budget'!$B$28:$N$28&gt;=0,'Monthly college budget'!$B$28:$N$28,NA()),NA())</f>
        <v>#N/A</v>
      </c>
      <c r="H14" s="7" t="e">
        <f ca="1">IF(SelectedPeriod='Monthly college budget'!F$31,IF('Monthly college budget'!$B$28:$N$28&gt;=0,'Monthly college budget'!$B$28:$N$28,NA()),NA())</f>
        <v>#N/A</v>
      </c>
      <c r="I14" s="7">
        <f ca="1">IF(SelectedPeriod='Monthly college budget'!G$31,IF('Monthly college budget'!$B$28:$N$28&gt;=0,'Monthly college budget'!$B$28:$N$28,NA()),NA())</f>
        <v>1169</v>
      </c>
      <c r="J14" s="7" t="e">
        <f ca="1">IF(SelectedPeriod='Monthly college budget'!H$31,IF('Monthly college budget'!$B$28:$N$28&gt;=0,'Monthly college budget'!$B$28:$N$28,NA()),NA())</f>
        <v>#N/A</v>
      </c>
      <c r="K14" s="7" t="e">
        <f ca="1">IF(SelectedPeriod='Monthly college budget'!I$31,IF('Monthly college budget'!$B$28:$N$28&gt;=0,'Monthly college budget'!$B$28:$N$28,NA()),NA())</f>
        <v>#N/A</v>
      </c>
      <c r="L14" s="7" t="e">
        <f ca="1">IF(SelectedPeriod='Monthly college budget'!J$31,IF('Monthly college budget'!$B$28:$N$28&gt;=0,'Monthly college budget'!$B$28:$N$28,NA()),NA())</f>
        <v>#N/A</v>
      </c>
      <c r="M14" s="7" t="e">
        <f ca="1">IF(SelectedPeriod='Monthly college budget'!K$31,IF('Monthly college budget'!$B$28:$N$28&gt;=0,'Monthly college budget'!$B$28:$N$28,NA()),NA())</f>
        <v>#N/A</v>
      </c>
      <c r="N14" s="7" t="e">
        <f ca="1">IF(SelectedPeriod='Monthly college budget'!L$31,IF('Monthly college budget'!$B$28:$N$28&gt;=0,'Monthly college budget'!$B$28:$N$28,NA()),NA())</f>
        <v>#N/A</v>
      </c>
      <c r="O14" s="7" t="e">
        <f ca="1">IF(SelectedPeriod='Monthly college budget'!M$31,IF('Monthly college budget'!$B$28:$N$28&gt;=0,'Monthly college budget'!$B$28:$N$28,NA()),NA())</f>
        <v>#N/A</v>
      </c>
      <c r="P14" s="7" t="e">
        <f ca="1">IF(SelectedPeriod='Monthly college budget'!N$31,IF('Monthly college budget'!$B$28:$N$28&gt;=0,'Monthly college budget'!$B$28:$N$28,NA()),NA())</f>
        <v>#N/A</v>
      </c>
    </row>
    <row r="15" spans="1:16" x14ac:dyDescent="0.15">
      <c r="C15" s="2" t="s">
        <v>9</v>
      </c>
      <c r="D15" s="7" t="e">
        <f ca="1">IF(SelectedPeriod='Monthly college budget'!B$31,IF('Monthly college budget'!$B$28:$N$28&lt;0,'Monthly college budget'!$B$28:$N$28,NA()),NA())</f>
        <v>#N/A</v>
      </c>
      <c r="E15" s="7" t="e">
        <f ca="1">IF(SelectedPeriod='Monthly college budget'!C$31,IF('Monthly college budget'!$B$28:$N$28&lt;0,'Monthly college budget'!$B$28:$N$28,NA()),NA())</f>
        <v>#N/A</v>
      </c>
      <c r="F15" s="7" t="e">
        <f ca="1">IF(SelectedPeriod='Monthly college budget'!D$31,IF('Monthly college budget'!$B$28:$N$28&lt;0,'Monthly college budget'!$B$28:$N$28,NA()),NA())</f>
        <v>#N/A</v>
      </c>
      <c r="G15" s="7" t="e">
        <f ca="1">IF(SelectedPeriod='Monthly college budget'!E$31,IF('Monthly college budget'!$B$28:$N$28&lt;0,'Monthly college budget'!$B$28:$N$28,NA()),NA())</f>
        <v>#N/A</v>
      </c>
      <c r="H15" s="7" t="e">
        <f ca="1">IF(SelectedPeriod='Monthly college budget'!F$31,IF('Monthly college budget'!$B$28:$N$28&lt;0,'Monthly college budget'!$B$28:$N$28,NA()),NA())</f>
        <v>#N/A</v>
      </c>
      <c r="I15" s="7" t="e">
        <f ca="1">IF(SelectedPeriod='Monthly college budget'!G$31,IF('Monthly college budget'!$B$28:$N$28&lt;0,'Monthly college budget'!$B$28:$N$28,NA()),NA())</f>
        <v>#N/A</v>
      </c>
      <c r="J15" s="7" t="e">
        <f ca="1">IF(SelectedPeriod='Monthly college budget'!H$31,IF('Monthly college budget'!$B$28:$N$28&lt;0,'Monthly college budget'!$B$28:$N$28,NA()),NA())</f>
        <v>#N/A</v>
      </c>
      <c r="K15" s="7" t="e">
        <f ca="1">IF(SelectedPeriod='Monthly college budget'!I$31,IF('Monthly college budget'!$B$28:$N$28&lt;0,'Monthly college budget'!$B$28:$N$28,NA()),NA())</f>
        <v>#N/A</v>
      </c>
      <c r="L15" s="7" t="e">
        <f ca="1">IF(SelectedPeriod='Monthly college budget'!J$31,IF('Monthly college budget'!$B$28:$N$28&lt;0,'Monthly college budget'!$B$28:$N$28,NA()),NA())</f>
        <v>#N/A</v>
      </c>
      <c r="M15" s="7" t="e">
        <f ca="1">IF(SelectedPeriod='Monthly college budget'!K$31,IF('Monthly college budget'!$B$28:$N$28&lt;0,'Monthly college budget'!$B$28:$N$28,NA()),NA())</f>
        <v>#N/A</v>
      </c>
      <c r="N15" s="7" t="e">
        <f ca="1">IF(SelectedPeriod='Monthly college budget'!L$31,IF('Monthly college budget'!$B$28:$N$28&lt;0,'Monthly college budget'!$B$28:$N$28,NA()),NA())</f>
        <v>#N/A</v>
      </c>
      <c r="O15" s="7" t="e">
        <f ca="1">IF(SelectedPeriod='Monthly college budget'!M$31,IF('Monthly college budget'!$B$28:$N$28&lt;0,'Monthly college budget'!$B$28:$N$28,NA()),NA())</f>
        <v>#N/A</v>
      </c>
      <c r="P15" s="7" t="e">
        <f ca="1">IF(SelectedPeriod='Monthly college budget'!N$31,IF('Monthly college budget'!$B$28:$N$28&lt;0,'Monthly college budget'!$B$28:$N$28,NA()),NA())</f>
        <v>#N/A</v>
      </c>
    </row>
    <row r="18" spans="3:4" x14ac:dyDescent="0.15">
      <c r="C18" s="9" t="s">
        <v>17</v>
      </c>
      <c r="D18" s="1"/>
    </row>
    <row r="19" spans="3:4" x14ac:dyDescent="0.15">
      <c r="C19" t="s">
        <v>2</v>
      </c>
      <c r="D19" s="8">
        <f ca="1">'Monthly college budget'!O32</f>
        <v>0.63829787234042556</v>
      </c>
    </row>
    <row r="20" spans="3:4" x14ac:dyDescent="0.15">
      <c r="C20" t="s">
        <v>18</v>
      </c>
      <c r="D20" s="8" t="e">
        <f>'Monthly college budget'!#REF!</f>
        <v>#REF!</v>
      </c>
    </row>
    <row r="21" spans="3:4" x14ac:dyDescent="0.15">
      <c r="C21" t="s">
        <v>0</v>
      </c>
      <c r="D21" s="8">
        <f ca="1">'Monthly college budget'!O33</f>
        <v>0.2978723404255319</v>
      </c>
    </row>
    <row r="22" spans="3:4" x14ac:dyDescent="0.15">
      <c r="C22" t="s">
        <v>3</v>
      </c>
      <c r="D22" s="8">
        <f ca="1">'Monthly college budget'!O34</f>
        <v>0</v>
      </c>
    </row>
    <row r="23" spans="3:4" x14ac:dyDescent="0.15">
      <c r="C23" t="s">
        <v>1</v>
      </c>
      <c r="D23" s="8">
        <f ca="1">'Monthly college budget'!O35</f>
        <v>6.3829787234042548E-2</v>
      </c>
    </row>
    <row r="24" spans="3:4" x14ac:dyDescent="0.15">
      <c r="D24" s="8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D1C70A0-714B-4A4F-9380-5124E3D02959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D0BA00A5-CA62-4BCF-BC0D-0A4AB60CA0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CA3394F-F625-4B8B-8AD5-BBED4DA6C1C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TM02930047</Templat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Monthly college budget</vt:lpstr>
      <vt:lpstr>chart_calcs</vt:lpstr>
      <vt:lpstr>income_percent_selected_period</vt:lpstr>
      <vt:lpstr>PercentsExpense</vt:lpstr>
      <vt:lpstr>PercentsIncome</vt:lpstr>
      <vt:lpstr>Periods</vt:lpstr>
      <vt:lpstr>ScrollBarValue</vt:lpstr>
      <vt:lpstr>SelectedStartMonth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2022-11-06T06:27:12Z</dcterms:created>
  <dcterms:modified xsi:type="dcterms:W3CDTF">2024-07-29T18:46:06Z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